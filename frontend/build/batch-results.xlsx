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Batch 119\"/>
    </mc:Choice>
  </mc:AlternateContent>
  <xr:revisionPtr revIDLastSave="0" documentId="8_{2DED69B8-D6E2-0E4A-BB26-558D791A0653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Beaufort 86" sheetId="1" r:id="rId1"/>
    <sheet name="sheds CFCR" sheetId="2" state="hidden" r:id="rId2"/>
    <sheet name="Pickup sheet" sheetId="3" state="hidden" r:id="rId3"/>
  </sheets>
  <externalReferences>
    <externalReference r:id="rId4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4" i="1" l="1"/>
  <c r="H58" i="1"/>
  <c r="H57" i="1"/>
  <c r="AB42" i="1"/>
  <c r="H41" i="1"/>
  <c r="AB26" i="1"/>
  <c r="H25" i="1"/>
  <c r="AB9" i="1"/>
  <c r="H72" i="1"/>
  <c r="H9" i="1"/>
  <c r="AB72" i="1"/>
  <c r="R71" i="1"/>
  <c r="AB25" i="1"/>
  <c r="H71" i="1"/>
  <c r="H24" i="1"/>
  <c r="H88" i="1"/>
  <c r="R9" i="1"/>
  <c r="AB56" i="1"/>
  <c r="R39" i="1"/>
  <c r="H87" i="1"/>
  <c r="AB71" i="1"/>
  <c r="H70" i="1"/>
  <c r="R70" i="1"/>
  <c r="AB40" i="1"/>
  <c r="AB24" i="1"/>
  <c r="R8" i="1"/>
  <c r="H8" i="1"/>
  <c r="AB23" i="1"/>
  <c r="R56" i="1"/>
  <c r="H56" i="1"/>
  <c r="H40" i="1"/>
  <c r="R24" i="1"/>
  <c r="AB8" i="1"/>
  <c r="H86" i="1"/>
  <c r="AB70" i="1"/>
  <c r="AB55" i="1"/>
  <c r="R55" i="1"/>
  <c r="H55" i="1"/>
  <c r="H39" i="1"/>
  <c r="R23" i="1"/>
  <c r="H23" i="1"/>
  <c r="AB7" i="1"/>
  <c r="R38" i="1"/>
  <c r="R22" i="1"/>
  <c r="H54" i="1"/>
  <c r="H22" i="1"/>
  <c r="AB6" i="1"/>
  <c r="R7" i="1"/>
  <c r="AB39" i="1"/>
  <c r="AB38" i="1"/>
  <c r="H38" i="1"/>
  <c r="AB22" i="1"/>
  <c r="R6" i="1"/>
  <c r="H7" i="1"/>
  <c r="H6" i="1"/>
  <c r="R26" i="1"/>
  <c r="AB57" i="1"/>
  <c r="R25" i="1"/>
  <c r="R41" i="1"/>
  <c r="AB54" i="1"/>
  <c r="R54" i="1"/>
  <c r="H73" i="1"/>
  <c r="R73" i="1"/>
  <c r="R40" i="1"/>
  <c r="R72" i="1"/>
  <c r="R74" i="1"/>
  <c r="AA56" i="1"/>
  <c r="AA10" i="1"/>
  <c r="H89" i="1"/>
  <c r="AB73" i="1"/>
  <c r="N16" i="1"/>
  <c r="R57" i="1"/>
  <c r="AB41" i="1"/>
  <c r="B11" i="2"/>
  <c r="F11" i="2"/>
  <c r="H11" i="2"/>
  <c r="B10" i="2"/>
  <c r="F10" i="2"/>
  <c r="H10" i="2"/>
  <c r="F9" i="2"/>
  <c r="H9" i="2"/>
  <c r="B9" i="2"/>
  <c r="B8" i="2"/>
  <c r="F8" i="2"/>
  <c r="H8" i="2"/>
  <c r="F7" i="2"/>
  <c r="H7" i="2"/>
  <c r="B7" i="2"/>
  <c r="H6" i="2"/>
  <c r="F6" i="2"/>
  <c r="H4" i="2"/>
  <c r="F4" i="2"/>
  <c r="D96" i="1"/>
  <c r="B96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G89" i="1"/>
  <c r="I88" i="1"/>
  <c r="G88" i="1"/>
  <c r="I87" i="1"/>
  <c r="G87" i="1"/>
  <c r="I86" i="1"/>
  <c r="G86" i="1"/>
  <c r="C85" i="1"/>
  <c r="X80" i="1"/>
  <c r="V80" i="1"/>
  <c r="U80" i="1"/>
  <c r="N80" i="1"/>
  <c r="L80" i="1"/>
  <c r="K80" i="1"/>
  <c r="D80" i="1"/>
  <c r="B80" i="1"/>
  <c r="A80" i="1"/>
  <c r="AC78" i="1"/>
  <c r="AB78" i="1"/>
  <c r="AA78" i="1"/>
  <c r="S78" i="1"/>
  <c r="R78" i="1"/>
  <c r="Q78" i="1"/>
  <c r="I78" i="1"/>
  <c r="H78" i="1"/>
  <c r="G78" i="1"/>
  <c r="AC77" i="1"/>
  <c r="AB77" i="1"/>
  <c r="AA77" i="1"/>
  <c r="S77" i="1"/>
  <c r="R77" i="1"/>
  <c r="Q77" i="1"/>
  <c r="I77" i="1"/>
  <c r="H77" i="1"/>
  <c r="G77" i="1"/>
  <c r="AC76" i="1"/>
  <c r="AB76" i="1"/>
  <c r="AA76" i="1"/>
  <c r="S76" i="1"/>
  <c r="R76" i="1"/>
  <c r="Q76" i="1"/>
  <c r="I76" i="1"/>
  <c r="H76" i="1"/>
  <c r="G76" i="1"/>
  <c r="AC75" i="1"/>
  <c r="AB75" i="1"/>
  <c r="AA75" i="1"/>
  <c r="S75" i="1"/>
  <c r="R75" i="1"/>
  <c r="Q75" i="1"/>
  <c r="I75" i="1"/>
  <c r="H75" i="1"/>
  <c r="G75" i="1"/>
  <c r="AC74" i="1"/>
  <c r="AA74" i="1"/>
  <c r="S74" i="1"/>
  <c r="Q74" i="1"/>
  <c r="I74" i="1"/>
  <c r="H74" i="1"/>
  <c r="G74" i="1"/>
  <c r="AC73" i="1"/>
  <c r="AA73" i="1"/>
  <c r="S73" i="1"/>
  <c r="Q73" i="1"/>
  <c r="I73" i="1"/>
  <c r="G73" i="1"/>
  <c r="AC72" i="1"/>
  <c r="AA72" i="1"/>
  <c r="S72" i="1"/>
  <c r="Q72" i="1"/>
  <c r="I72" i="1"/>
  <c r="G72" i="1"/>
  <c r="AC71" i="1"/>
  <c r="AA71" i="1"/>
  <c r="S71" i="1"/>
  <c r="Q71" i="1"/>
  <c r="I71" i="1"/>
  <c r="G71" i="1"/>
  <c r="AC70" i="1"/>
  <c r="AA70" i="1"/>
  <c r="S70" i="1"/>
  <c r="Q70" i="1"/>
  <c r="I70" i="1"/>
  <c r="G70" i="1"/>
  <c r="W69" i="1"/>
  <c r="M69" i="1"/>
  <c r="C69" i="1"/>
  <c r="X64" i="1"/>
  <c r="V64" i="1"/>
  <c r="U64" i="1"/>
  <c r="N64" i="1"/>
  <c r="L64" i="1"/>
  <c r="K64" i="1"/>
  <c r="D64" i="1"/>
  <c r="B64" i="1"/>
  <c r="A64" i="1"/>
  <c r="AC62" i="1"/>
  <c r="AB62" i="1"/>
  <c r="AA62" i="1"/>
  <c r="S62" i="1"/>
  <c r="R62" i="1"/>
  <c r="Q62" i="1"/>
  <c r="I62" i="1"/>
  <c r="H62" i="1"/>
  <c r="G62" i="1"/>
  <c r="AC61" i="1"/>
  <c r="AB61" i="1"/>
  <c r="AA61" i="1"/>
  <c r="S61" i="1"/>
  <c r="R61" i="1"/>
  <c r="Q61" i="1"/>
  <c r="I61" i="1"/>
  <c r="H61" i="1"/>
  <c r="G61" i="1"/>
  <c r="AC60" i="1"/>
  <c r="AB60" i="1"/>
  <c r="AA60" i="1"/>
  <c r="S60" i="1"/>
  <c r="R60" i="1"/>
  <c r="Q60" i="1"/>
  <c r="I60" i="1"/>
  <c r="H60" i="1"/>
  <c r="G60" i="1"/>
  <c r="AC59" i="1"/>
  <c r="AB59" i="1"/>
  <c r="AA59" i="1"/>
  <c r="S59" i="1"/>
  <c r="R59" i="1"/>
  <c r="Q59" i="1"/>
  <c r="I59" i="1"/>
  <c r="H59" i="1"/>
  <c r="G59" i="1"/>
  <c r="AC58" i="1"/>
  <c r="AB58" i="1"/>
  <c r="AA58" i="1"/>
  <c r="S58" i="1"/>
  <c r="R58" i="1"/>
  <c r="Q58" i="1"/>
  <c r="I58" i="1"/>
  <c r="G58" i="1"/>
  <c r="AC57" i="1"/>
  <c r="AA57" i="1"/>
  <c r="S57" i="1"/>
  <c r="Q57" i="1"/>
  <c r="I57" i="1"/>
  <c r="G57" i="1"/>
  <c r="AC56" i="1"/>
  <c r="S56" i="1"/>
  <c r="Q56" i="1"/>
  <c r="I56" i="1"/>
  <c r="G56" i="1"/>
  <c r="AC55" i="1"/>
  <c r="AA55" i="1"/>
  <c r="S55" i="1"/>
  <c r="Q55" i="1"/>
  <c r="I55" i="1"/>
  <c r="G55" i="1"/>
  <c r="AC54" i="1"/>
  <c r="AA54" i="1"/>
  <c r="S54" i="1"/>
  <c r="Q54" i="1"/>
  <c r="I54" i="1"/>
  <c r="G54" i="1"/>
  <c r="W53" i="1"/>
  <c r="M53" i="1"/>
  <c r="C53" i="1"/>
  <c r="X48" i="1"/>
  <c r="V48" i="1"/>
  <c r="U48" i="1"/>
  <c r="N48" i="1"/>
  <c r="L48" i="1"/>
  <c r="K48" i="1"/>
  <c r="D48" i="1"/>
  <c r="B48" i="1"/>
  <c r="A48" i="1"/>
  <c r="AC46" i="1"/>
  <c r="AB46" i="1"/>
  <c r="AA46" i="1"/>
  <c r="S46" i="1"/>
  <c r="R46" i="1"/>
  <c r="Q46" i="1"/>
  <c r="I46" i="1"/>
  <c r="H46" i="1"/>
  <c r="G46" i="1"/>
  <c r="AC45" i="1"/>
  <c r="AB45" i="1"/>
  <c r="AA45" i="1"/>
  <c r="S45" i="1"/>
  <c r="R45" i="1"/>
  <c r="Q45" i="1"/>
  <c r="I45" i="1"/>
  <c r="H45" i="1"/>
  <c r="G45" i="1"/>
  <c r="AC44" i="1"/>
  <c r="AB44" i="1"/>
  <c r="AA44" i="1"/>
  <c r="S44" i="1"/>
  <c r="R44" i="1"/>
  <c r="Q44" i="1"/>
  <c r="I44" i="1"/>
  <c r="H44" i="1"/>
  <c r="G44" i="1"/>
  <c r="AC43" i="1"/>
  <c r="AB43" i="1"/>
  <c r="AA43" i="1"/>
  <c r="S43" i="1"/>
  <c r="R43" i="1"/>
  <c r="Q43" i="1"/>
  <c r="I43" i="1"/>
  <c r="H43" i="1"/>
  <c r="G43" i="1"/>
  <c r="AC42" i="1"/>
  <c r="AA42" i="1"/>
  <c r="S42" i="1"/>
  <c r="R42" i="1"/>
  <c r="Q42" i="1"/>
  <c r="I42" i="1"/>
  <c r="H42" i="1"/>
  <c r="G42" i="1"/>
  <c r="AC41" i="1"/>
  <c r="AA41" i="1"/>
  <c r="S41" i="1"/>
  <c r="Q41" i="1"/>
  <c r="I41" i="1"/>
  <c r="G41" i="1"/>
  <c r="AC40" i="1"/>
  <c r="AA40" i="1"/>
  <c r="S40" i="1"/>
  <c r="Q40" i="1"/>
  <c r="I40" i="1"/>
  <c r="G40" i="1"/>
  <c r="AC39" i="1"/>
  <c r="AA39" i="1"/>
  <c r="S39" i="1"/>
  <c r="Q39" i="1"/>
  <c r="I39" i="1"/>
  <c r="G39" i="1"/>
  <c r="AC38" i="1"/>
  <c r="AA38" i="1"/>
  <c r="S38" i="1"/>
  <c r="Q38" i="1"/>
  <c r="I38" i="1"/>
  <c r="G38" i="1"/>
  <c r="W37" i="1"/>
  <c r="M37" i="1"/>
  <c r="C37" i="1"/>
  <c r="X32" i="1"/>
  <c r="V32" i="1"/>
  <c r="U32" i="1"/>
  <c r="N32" i="1"/>
  <c r="L32" i="1"/>
  <c r="D32" i="1"/>
  <c r="B32" i="1"/>
  <c r="A32" i="1"/>
  <c r="S31" i="1"/>
  <c r="R31" i="1"/>
  <c r="Q31" i="1"/>
  <c r="I31" i="1"/>
  <c r="H31" i="1"/>
  <c r="G31" i="1"/>
  <c r="AC30" i="1"/>
  <c r="AB30" i="1"/>
  <c r="AA30" i="1"/>
  <c r="S30" i="1"/>
  <c r="R30" i="1"/>
  <c r="Q30" i="1"/>
  <c r="I30" i="1"/>
  <c r="H30" i="1"/>
  <c r="G30" i="1"/>
  <c r="AC29" i="1"/>
  <c r="AB29" i="1"/>
  <c r="AA29" i="1"/>
  <c r="S29" i="1"/>
  <c r="R29" i="1"/>
  <c r="Q29" i="1"/>
  <c r="I29" i="1"/>
  <c r="H29" i="1"/>
  <c r="G29" i="1"/>
  <c r="AC28" i="1"/>
  <c r="AB28" i="1"/>
  <c r="AA28" i="1"/>
  <c r="S28" i="1"/>
  <c r="R28" i="1"/>
  <c r="Q28" i="1"/>
  <c r="I28" i="1"/>
  <c r="H28" i="1"/>
  <c r="G28" i="1"/>
  <c r="AC27" i="1"/>
  <c r="AB27" i="1"/>
  <c r="AA27" i="1"/>
  <c r="S27" i="1"/>
  <c r="R27" i="1"/>
  <c r="Q27" i="1"/>
  <c r="I27" i="1"/>
  <c r="H27" i="1"/>
  <c r="G27" i="1"/>
  <c r="AC26" i="1"/>
  <c r="AA26" i="1"/>
  <c r="S26" i="1"/>
  <c r="Q26" i="1"/>
  <c r="I26" i="1"/>
  <c r="H26" i="1"/>
  <c r="G26" i="1"/>
  <c r="AC25" i="1"/>
  <c r="AA25" i="1"/>
  <c r="S25" i="1"/>
  <c r="Q25" i="1"/>
  <c r="I25" i="1"/>
  <c r="G25" i="1"/>
  <c r="AC24" i="1"/>
  <c r="AA24" i="1"/>
  <c r="S24" i="1"/>
  <c r="Q24" i="1"/>
  <c r="I24" i="1"/>
  <c r="G24" i="1"/>
  <c r="AC23" i="1"/>
  <c r="AA23" i="1"/>
  <c r="S23" i="1"/>
  <c r="Q23" i="1"/>
  <c r="I23" i="1"/>
  <c r="G23" i="1"/>
  <c r="AC22" i="1"/>
  <c r="AA22" i="1"/>
  <c r="S22" i="1"/>
  <c r="Q22" i="1"/>
  <c r="I22" i="1"/>
  <c r="G22" i="1"/>
  <c r="W21" i="1"/>
  <c r="M21" i="1"/>
  <c r="C21" i="1"/>
  <c r="X16" i="1"/>
  <c r="V16" i="1"/>
  <c r="U16" i="1"/>
  <c r="L16" i="1"/>
  <c r="K16" i="1"/>
  <c r="D16" i="1"/>
  <c r="B16" i="1"/>
  <c r="A16" i="1"/>
  <c r="AA15" i="1"/>
  <c r="S15" i="1"/>
  <c r="R15" i="1"/>
  <c r="Q15" i="1"/>
  <c r="I15" i="1"/>
  <c r="H15" i="1"/>
  <c r="G15" i="1"/>
  <c r="AC14" i="1"/>
  <c r="AB14" i="1"/>
  <c r="AA14" i="1"/>
  <c r="S14" i="1"/>
  <c r="R14" i="1"/>
  <c r="Q14" i="1"/>
  <c r="I14" i="1"/>
  <c r="H14" i="1"/>
  <c r="G14" i="1"/>
  <c r="AL13" i="1"/>
  <c r="AC13" i="1"/>
  <c r="AB13" i="1"/>
  <c r="AA13" i="1"/>
  <c r="S13" i="1"/>
  <c r="R13" i="1"/>
  <c r="Q13" i="1"/>
  <c r="I13" i="1"/>
  <c r="H13" i="1"/>
  <c r="G13" i="1"/>
  <c r="AC12" i="1"/>
  <c r="AB12" i="1"/>
  <c r="AA12" i="1"/>
  <c r="S12" i="1"/>
  <c r="R12" i="1"/>
  <c r="Q12" i="1"/>
  <c r="I12" i="1"/>
  <c r="H12" i="1"/>
  <c r="G12" i="1"/>
  <c r="AC11" i="1"/>
  <c r="AB11" i="1"/>
  <c r="AA11" i="1"/>
  <c r="S11" i="1"/>
  <c r="R11" i="1"/>
  <c r="Q11" i="1"/>
  <c r="I11" i="1"/>
  <c r="H11" i="1"/>
  <c r="G11" i="1"/>
  <c r="AC10" i="1"/>
  <c r="AB10" i="1"/>
  <c r="S10" i="1"/>
  <c r="R10" i="1"/>
  <c r="Q10" i="1"/>
  <c r="I10" i="1"/>
  <c r="H10" i="1"/>
  <c r="G10" i="1"/>
  <c r="AC9" i="1"/>
  <c r="AA9" i="1"/>
  <c r="S9" i="1"/>
  <c r="Q9" i="1"/>
  <c r="I9" i="1"/>
  <c r="G9" i="1"/>
  <c r="AC8" i="1"/>
  <c r="AA8" i="1"/>
  <c r="S8" i="1"/>
  <c r="Q8" i="1"/>
  <c r="I8" i="1"/>
  <c r="G8" i="1"/>
  <c r="AL7" i="1"/>
  <c r="AC7" i="1"/>
  <c r="AA7" i="1"/>
  <c r="S7" i="1"/>
  <c r="Q7" i="1"/>
  <c r="I7" i="1"/>
  <c r="G7" i="1"/>
  <c r="AC6" i="1"/>
  <c r="AA6" i="1"/>
  <c r="S6" i="1"/>
  <c r="Q6" i="1"/>
  <c r="I6" i="1"/>
  <c r="G6" i="1"/>
  <c r="AH5" i="1"/>
  <c r="W5" i="1"/>
  <c r="M5" i="1"/>
  <c r="C5" i="1"/>
  <c r="A96" i="1"/>
  <c r="AH7" i="1"/>
  <c r="AL15" i="1"/>
  <c r="K32" i="1"/>
  <c r="I65" i="1"/>
  <c r="G96" i="1"/>
  <c r="AC17" i="1"/>
  <c r="AC65" i="1"/>
  <c r="S49" i="1"/>
  <c r="I97" i="1"/>
  <c r="AC81" i="1"/>
  <c r="AA80" i="1"/>
  <c r="S81" i="1"/>
  <c r="Q80" i="1"/>
  <c r="P80" i="1"/>
  <c r="AC49" i="1"/>
  <c r="S17" i="1"/>
  <c r="G16" i="1"/>
  <c r="G80" i="1"/>
  <c r="F80" i="1"/>
  <c r="I81" i="1"/>
  <c r="AA64" i="1"/>
  <c r="Z64" i="1"/>
  <c r="S65" i="1"/>
  <c r="AA48" i="1"/>
  <c r="Z48" i="1"/>
  <c r="Q48" i="1"/>
  <c r="P48" i="1"/>
  <c r="G48" i="1"/>
  <c r="F48" i="1"/>
  <c r="I49" i="1"/>
  <c r="AC33" i="1"/>
  <c r="AA32" i="1"/>
  <c r="Q64" i="1"/>
  <c r="P64" i="1"/>
  <c r="G64" i="1"/>
  <c r="F64" i="1"/>
  <c r="Q32" i="1"/>
  <c r="S33" i="1"/>
  <c r="I33" i="1"/>
  <c r="G32" i="1"/>
  <c r="F32" i="1"/>
  <c r="AA16" i="1"/>
  <c r="Q16" i="1"/>
  <c r="P16" i="1"/>
  <c r="I17" i="1"/>
  <c r="AH8" i="1"/>
  <c r="F96" i="1"/>
  <c r="AH6" i="1"/>
  <c r="AI7" i="1"/>
  <c r="Z80" i="1"/>
  <c r="Z16" i="1"/>
  <c r="P32" i="1"/>
  <c r="F16" i="1"/>
  <c r="Z32" i="1"/>
  <c r="AH11" i="1"/>
  <c r="E5" i="2"/>
  <c r="F5" i="2"/>
  <c r="H5" i="2"/>
  <c r="AH9" i="1"/>
  <c r="AH12" i="1"/>
  <c r="AN6" i="1"/>
  <c r="AL9" i="1"/>
  <c r="AL11" i="1"/>
  <c r="AN5" i="1"/>
  <c r="AN7" i="1"/>
  <c r="AN9" i="1"/>
</calcChain>
</file>

<file path=xl/sharedStrings.xml><?xml version="1.0" encoding="utf-8"?>
<sst xmlns="http://schemas.openxmlformats.org/spreadsheetml/2006/main" count="343" uniqueCount="83">
  <si>
    <t>FARM</t>
  </si>
  <si>
    <t>Beaufort</t>
  </si>
  <si>
    <t>Batch</t>
  </si>
  <si>
    <t>DATE</t>
  </si>
  <si>
    <t>SHED 1</t>
  </si>
  <si>
    <t>No. birds at pick up</t>
  </si>
  <si>
    <t>Date</t>
  </si>
  <si>
    <t>Age</t>
  </si>
  <si>
    <t>Sex</t>
  </si>
  <si>
    <t>Ave weight</t>
  </si>
  <si>
    <t>Total Weight</t>
  </si>
  <si>
    <t>wgt %</t>
  </si>
  <si>
    <t>Actual Age</t>
  </si>
  <si>
    <t>SHED 2</t>
  </si>
  <si>
    <t>SHED 3</t>
  </si>
  <si>
    <t>placement</t>
  </si>
  <si>
    <t xml:space="preserve">No. of Birds Placed </t>
  </si>
  <si>
    <t>Feed left over</t>
  </si>
  <si>
    <t>Efficiency Rating</t>
  </si>
  <si>
    <t>morts</t>
  </si>
  <si>
    <t>Mortality</t>
  </si>
  <si>
    <t>Feed Delivered</t>
  </si>
  <si>
    <t>cfcr</t>
  </si>
  <si>
    <t>M</t>
  </si>
  <si>
    <t>Total W.</t>
  </si>
  <si>
    <t>Feed on Hand</t>
  </si>
  <si>
    <t>cage</t>
  </si>
  <si>
    <t>Total Birds Out</t>
  </si>
  <si>
    <t>Feed Consumed</t>
  </si>
  <si>
    <t>E R</t>
  </si>
  <si>
    <t>m</t>
  </si>
  <si>
    <t>Total Age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</si>
  <si>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</si>
  <si>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Ave. W.</t>
  </si>
  <si>
    <t>FCR</t>
  </si>
  <si>
    <t>Payment</t>
  </si>
  <si>
    <t>CFCR</t>
  </si>
  <si>
    <t>Correct Age to 2.45</t>
  </si>
  <si>
    <t>Kg per Bird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</si>
  <si>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</si>
  <si>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actual</t>
  </si>
  <si>
    <t>age</t>
  </si>
  <si>
    <t>SHED 4</t>
  </si>
  <si>
    <t>SHED 5</t>
  </si>
  <si>
    <t>SHED 6</t>
  </si>
  <si>
    <t xml:space="preserve"> </t>
  </si>
  <si>
    <t>SHED 7</t>
  </si>
  <si>
    <t>SHED 8</t>
  </si>
  <si>
    <t>SHED 9</t>
  </si>
  <si>
    <t>SHED 10</t>
  </si>
  <si>
    <t>SHED 11</t>
  </si>
  <si>
    <t>SHED 12</t>
  </si>
  <si>
    <t>SHED 13</t>
  </si>
  <si>
    <t>SHED 14</t>
  </si>
  <si>
    <t>SHED 15</t>
  </si>
  <si>
    <t>SHED 16</t>
  </si>
  <si>
    <t>Sheds CFCR</t>
  </si>
  <si>
    <t>Batch-75</t>
  </si>
  <si>
    <t>Sheds</t>
  </si>
  <si>
    <t>Total Feed Delivered</t>
  </si>
  <si>
    <t>Feed on hand</t>
  </si>
  <si>
    <t>Feed consumed</t>
  </si>
  <si>
    <t>Total  weight</t>
  </si>
  <si>
    <t>Ave .Weight</t>
  </si>
  <si>
    <t>1&amp; 2</t>
  </si>
  <si>
    <t>3 &amp; 4</t>
  </si>
  <si>
    <t>5 &amp; 6</t>
  </si>
  <si>
    <t>7&amp; 8</t>
  </si>
  <si>
    <t>9 &amp; 10</t>
  </si>
  <si>
    <t>11 &amp; 12</t>
  </si>
  <si>
    <t>13 &amp; 14</t>
  </si>
  <si>
    <t>15 &amp; 16</t>
  </si>
  <si>
    <t>Pickup Sheet</t>
  </si>
  <si>
    <t>Catching started on 05-04-2021</t>
  </si>
  <si>
    <t>Batch No 92</t>
  </si>
  <si>
    <t xml:space="preserve">Placement </t>
  </si>
  <si>
    <t>1st Catch</t>
  </si>
  <si>
    <t>2nd Catch</t>
  </si>
  <si>
    <t>3rd Catch</t>
  </si>
  <si>
    <t>4th Catch</t>
  </si>
  <si>
    <t>Birds no for cleanout</t>
  </si>
  <si>
    <t>Reported Morts</t>
  </si>
  <si>
    <t>Total Catch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</si>
</sst>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2" x14ac:knownFonts="1">
    <font>
      <sz val="10"/>
      <color rgb="FF000000"/>
      <name val="Arial"/>
      <scheme val="minor"/>
    </font>
    <font>
      <b/>
      <sz val="14"/>
      <color theme="1"/>
      <name val="Arial"/>
      <family val="2"/>
    </font>
    <font>
      <sz val="10"/>
      <name val="Arial"/>
      <family val="2"/>
    </font>
    <font>
      <b/>
      <sz val="16"/>
      <color rgb="FFFF0000"/>
      <name val="Arial"/>
      <family val="2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sz val="16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  <fill>
      <patternFill patternType="solid">
        <fgColor rgb="FFFBD4B4"/>
        <bgColor rgb="FFFBD4B4"/>
      </patternFill>
    </fill>
    <fill>
      <patternFill patternType="solid">
        <fgColor rgb="FFFFFF66"/>
        <bgColor rgb="FFFFFF66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rgb="FF92D050"/>
      </patternFill>
    </fill>
    <fill>
      <patternFill patternType="solid">
        <fgColor rgb="FFFFFF00"/>
        <bgColor theme="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FC000"/>
        <bgColor theme="0"/>
      </patternFill>
    </fill>
    <fill>
      <patternFill patternType="solid">
        <fgColor rgb="FF92D050"/>
        <bgColor rgb="FFFF99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C000"/>
      </patternFill>
    </fill>
    <fill>
      <patternFill patternType="solid">
        <fgColor rgb="FFFFC000"/>
        <bgColor rgb="FFFF9900"/>
      </patternFill>
    </fill>
  </fills>
  <borders count="4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4" fontId="1" fillId="0" borderId="5" xfId="0" applyNumberFormat="1" applyFont="1" applyBorder="1"/>
    <xf numFmtId="2" fontId="1" fillId="0" borderId="5" xfId="0" applyNumberFormat="1" applyFont="1" applyBorder="1"/>
    <xf numFmtId="0" fontId="1" fillId="2" borderId="6" xfId="0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7" xfId="0" applyFont="1" applyBorder="1"/>
    <xf numFmtId="1" fontId="1" fillId="3" borderId="5" xfId="0" applyNumberFormat="1" applyFont="1" applyFill="1" applyBorder="1" applyAlignment="1">
      <alignment horizontal="center"/>
    </xf>
    <xf numFmtId="10" fontId="1" fillId="3" borderId="5" xfId="0" applyNumberFormat="1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165" fontId="1" fillId="3" borderId="5" xfId="0" applyNumberFormat="1" applyFont="1" applyFill="1" applyBorder="1" applyAlignment="1">
      <alignment horizontal="center"/>
    </xf>
    <xf numFmtId="2" fontId="1" fillId="3" borderId="5" xfId="0" applyNumberFormat="1" applyFont="1" applyFill="1" applyBorder="1"/>
    <xf numFmtId="0" fontId="1" fillId="3" borderId="5" xfId="0" applyFont="1" applyFill="1" applyBorder="1"/>
    <xf numFmtId="1" fontId="1" fillId="0" borderId="5" xfId="0" applyNumberFormat="1" applyFont="1" applyBorder="1" applyAlignment="1">
      <alignment horizontal="center"/>
    </xf>
    <xf numFmtId="10" fontId="1" fillId="0" borderId="5" xfId="0" applyNumberFormat="1" applyFont="1" applyBorder="1" applyAlignment="1">
      <alignment horizontal="left"/>
    </xf>
    <xf numFmtId="165" fontId="1" fillId="0" borderId="5" xfId="0" applyNumberFormat="1" applyFont="1" applyBorder="1" applyAlignment="1">
      <alignment horizontal="left"/>
    </xf>
    <xf numFmtId="10" fontId="1" fillId="0" borderId="5" xfId="0" applyNumberFormat="1" applyFont="1" applyBorder="1"/>
    <xf numFmtId="0" fontId="1" fillId="0" borderId="8" xfId="0" applyFont="1" applyBorder="1" applyAlignment="1">
      <alignment horizontal="right"/>
    </xf>
    <xf numFmtId="10" fontId="1" fillId="0" borderId="9" xfId="0" applyNumberFormat="1" applyFont="1" applyBorder="1"/>
    <xf numFmtId="0" fontId="1" fillId="0" borderId="8" xfId="0" applyFont="1" applyBorder="1"/>
    <xf numFmtId="0" fontId="1" fillId="0" borderId="10" xfId="0" applyFont="1" applyBorder="1"/>
    <xf numFmtId="3" fontId="1" fillId="0" borderId="9" xfId="0" applyNumberFormat="1" applyFont="1" applyBorder="1"/>
    <xf numFmtId="0" fontId="1" fillId="4" borderId="5" xfId="0" applyFont="1" applyFill="1" applyBorder="1" applyAlignment="1">
      <alignment horizontal="center"/>
    </xf>
    <xf numFmtId="16" fontId="1" fillId="4" borderId="5" xfId="0" applyNumberFormat="1" applyFont="1" applyFill="1" applyBorder="1" applyAlignment="1">
      <alignment horizontal="center"/>
    </xf>
    <xf numFmtId="2" fontId="1" fillId="4" borderId="5" xfId="0" applyNumberFormat="1" applyFont="1" applyFill="1" applyBorder="1" applyAlignment="1">
      <alignment horizontal="center"/>
    </xf>
    <xf numFmtId="165" fontId="1" fillId="4" borderId="5" xfId="0" applyNumberFormat="1" applyFont="1" applyFill="1" applyBorder="1" applyAlignment="1">
      <alignment horizontal="center"/>
    </xf>
    <xf numFmtId="1" fontId="1" fillId="0" borderId="9" xfId="0" applyNumberFormat="1" applyFont="1" applyBorder="1"/>
    <xf numFmtId="9" fontId="1" fillId="0" borderId="0" xfId="0" applyNumberFormat="1" applyFont="1"/>
    <xf numFmtId="1" fontId="1" fillId="5" borderId="6" xfId="0" applyNumberFormat="1" applyFont="1" applyFill="1" applyBorder="1"/>
    <xf numFmtId="9" fontId="1" fillId="0" borderId="12" xfId="0" applyNumberFormat="1" applyFont="1" applyBorder="1"/>
    <xf numFmtId="0" fontId="1" fillId="0" borderId="11" xfId="0" applyFont="1" applyBorder="1"/>
    <xf numFmtId="0" fontId="1" fillId="0" borderId="13" xfId="0" applyFont="1" applyBorder="1"/>
    <xf numFmtId="3" fontId="1" fillId="0" borderId="6" xfId="0" applyNumberFormat="1" applyFont="1" applyBorder="1"/>
    <xf numFmtId="0" fontId="1" fillId="4" borderId="14" xfId="0" applyFont="1" applyFill="1" applyBorder="1"/>
    <xf numFmtId="0" fontId="1" fillId="0" borderId="9" xfId="0" applyFont="1" applyBorder="1"/>
    <xf numFmtId="2" fontId="1" fillId="0" borderId="6" xfId="0" applyNumberFormat="1" applyFont="1" applyBorder="1"/>
    <xf numFmtId="0" fontId="1" fillId="0" borderId="12" xfId="0" applyFont="1" applyBorder="1"/>
    <xf numFmtId="164" fontId="1" fillId="0" borderId="6" xfId="0" applyNumberFormat="1" applyFont="1" applyBorder="1"/>
    <xf numFmtId="16" fontId="1" fillId="3" borderId="5" xfId="0" applyNumberFormat="1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2" fontId="1" fillId="0" borderId="9" xfId="0" applyNumberFormat="1" applyFont="1" applyBorder="1"/>
    <xf numFmtId="16" fontId="1" fillId="0" borderId="5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0" fontId="1" fillId="4" borderId="15" xfId="0" applyFont="1" applyFill="1" applyBorder="1"/>
    <xf numFmtId="164" fontId="1" fillId="6" borderId="6" xfId="0" applyNumberFormat="1" applyFont="1" applyFill="1" applyBorder="1"/>
    <xf numFmtId="1" fontId="4" fillId="0" borderId="5" xfId="0" applyNumberFormat="1" applyFont="1" applyBorder="1" applyAlignment="1">
      <alignment horizontal="center"/>
    </xf>
    <xf numFmtId="16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2" fontId="1" fillId="7" borderId="6" xfId="0" applyNumberFormat="1" applyFont="1" applyFill="1" applyBorder="1"/>
    <xf numFmtId="1" fontId="1" fillId="0" borderId="5" xfId="0" applyNumberFormat="1" applyFont="1" applyBorder="1"/>
    <xf numFmtId="2" fontId="4" fillId="0" borderId="9" xfId="0" applyNumberFormat="1" applyFont="1" applyBorder="1"/>
    <xf numFmtId="165" fontId="1" fillId="0" borderId="5" xfId="0" applyNumberFormat="1" applyFont="1" applyBorder="1"/>
    <xf numFmtId="0" fontId="1" fillId="0" borderId="17" xfId="0" applyFont="1" applyBorder="1"/>
    <xf numFmtId="0" fontId="1" fillId="0" borderId="1" xfId="0" applyFont="1" applyBorder="1"/>
    <xf numFmtId="0" fontId="1" fillId="0" borderId="18" xfId="0" applyFont="1" applyBorder="1"/>
    <xf numFmtId="0" fontId="1" fillId="0" borderId="19" xfId="0" applyFont="1" applyBorder="1"/>
    <xf numFmtId="2" fontId="1" fillId="0" borderId="5" xfId="0" applyNumberFormat="1" applyFont="1" applyBorder="1" applyAlignment="1">
      <alignment horizontal="right"/>
    </xf>
    <xf numFmtId="2" fontId="1" fillId="0" borderId="1" xfId="0" applyNumberFormat="1" applyFont="1" applyBorder="1"/>
    <xf numFmtId="2" fontId="1" fillId="0" borderId="1" xfId="0" applyNumberFormat="1" applyFont="1" applyBorder="1" applyAlignment="1">
      <alignment horizontal="right"/>
    </xf>
    <xf numFmtId="2" fontId="1" fillId="0" borderId="19" xfId="0" applyNumberFormat="1" applyFont="1" applyBorder="1"/>
    <xf numFmtId="0" fontId="1" fillId="0" borderId="5" xfId="0" applyFont="1" applyBorder="1" applyAlignment="1">
      <alignment wrapText="1"/>
    </xf>
    <xf numFmtId="2" fontId="1" fillId="0" borderId="5" xfId="0" applyNumberFormat="1" applyFont="1" applyBorder="1" applyAlignment="1">
      <alignment wrapText="1"/>
    </xf>
    <xf numFmtId="1" fontId="1" fillId="0" borderId="5" xfId="0" applyNumberFormat="1" applyFont="1" applyBorder="1" applyAlignment="1">
      <alignment wrapText="1"/>
    </xf>
    <xf numFmtId="10" fontId="1" fillId="0" borderId="5" xfId="0" applyNumberFormat="1" applyFont="1" applyBorder="1" applyAlignment="1">
      <alignment wrapText="1"/>
    </xf>
    <xf numFmtId="165" fontId="1" fillId="0" borderId="5" xfId="0" applyNumberFormat="1" applyFont="1" applyBorder="1" applyAlignment="1">
      <alignment horizontal="left" wrapText="1"/>
    </xf>
    <xf numFmtId="10" fontId="1" fillId="3" borderId="5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wrapText="1"/>
    </xf>
    <xf numFmtId="16" fontId="1" fillId="4" borderId="5" xfId="0" applyNumberFormat="1" applyFont="1" applyFill="1" applyBorder="1" applyAlignment="1">
      <alignment horizontal="center" wrapText="1"/>
    </xf>
    <xf numFmtId="2" fontId="1" fillId="4" borderId="5" xfId="0" applyNumberFormat="1" applyFont="1" applyFill="1" applyBorder="1" applyAlignment="1">
      <alignment horizontal="center" wrapText="1"/>
    </xf>
    <xf numFmtId="165" fontId="1" fillId="4" borderId="5" xfId="0" applyNumberFormat="1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16" fontId="1" fillId="3" borderId="5" xfId="0" applyNumberFormat="1" applyFont="1" applyFill="1" applyBorder="1" applyAlignment="1">
      <alignment horizontal="center" wrapText="1"/>
    </xf>
    <xf numFmtId="2" fontId="1" fillId="3" borderId="5" xfId="0" applyNumberFormat="1" applyFont="1" applyFill="1" applyBorder="1" applyAlignment="1">
      <alignment horizontal="center" wrapText="1"/>
    </xf>
    <xf numFmtId="165" fontId="1" fillId="3" borderId="5" xfId="0" applyNumberFormat="1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16" fontId="1" fillId="0" borderId="5" xfId="0" applyNumberFormat="1" applyFont="1" applyBorder="1" applyAlignment="1">
      <alignment horizontal="center" wrapText="1"/>
    </xf>
    <xf numFmtId="2" fontId="1" fillId="0" borderId="5" xfId="0" applyNumberFormat="1" applyFont="1" applyBorder="1" applyAlignment="1">
      <alignment horizontal="center" wrapText="1"/>
    </xf>
    <xf numFmtId="165" fontId="1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16" fontId="1" fillId="0" borderId="5" xfId="0" applyNumberFormat="1" applyFont="1" applyBorder="1"/>
    <xf numFmtId="0" fontId="1" fillId="0" borderId="17" xfId="0" applyFont="1" applyBorder="1" applyAlignment="1">
      <alignment wrapText="1"/>
    </xf>
    <xf numFmtId="0" fontId="1" fillId="0" borderId="1" xfId="0" applyFont="1" applyBorder="1" applyAlignment="1">
      <alignment wrapText="1"/>
    </xf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right" wrapText="1"/>
    </xf>
    <xf numFmtId="2" fontId="1" fillId="0" borderId="19" xfId="0" applyNumberFormat="1" applyFont="1" applyBorder="1" applyAlignment="1">
      <alignment wrapText="1"/>
    </xf>
    <xf numFmtId="10" fontId="1" fillId="0" borderId="5" xfId="0" applyNumberFormat="1" applyFont="1" applyBorder="1" applyAlignment="1">
      <alignment horizontal="center"/>
    </xf>
    <xf numFmtId="0" fontId="1" fillId="3" borderId="20" xfId="0" applyFont="1" applyFill="1" applyBorder="1"/>
    <xf numFmtId="1" fontId="1" fillId="3" borderId="5" xfId="0" applyNumberFormat="1" applyFont="1" applyFill="1" applyBorder="1"/>
    <xf numFmtId="10" fontId="1" fillId="3" borderId="5" xfId="0" applyNumberFormat="1" applyFont="1" applyFill="1" applyBorder="1"/>
    <xf numFmtId="165" fontId="1" fillId="3" borderId="5" xfId="0" applyNumberFormat="1" applyFont="1" applyFill="1" applyBorder="1" applyAlignment="1">
      <alignment horizontal="left"/>
    </xf>
    <xf numFmtId="0" fontId="1" fillId="4" borderId="5" xfId="0" applyFont="1" applyFill="1" applyBorder="1"/>
    <xf numFmtId="0" fontId="5" fillId="0" borderId="0" xfId="0" applyFont="1"/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6" fillId="0" borderId="27" xfId="0" applyFont="1" applyBorder="1"/>
    <xf numFmtId="3" fontId="6" fillId="0" borderId="5" xfId="0" applyNumberFormat="1" applyFont="1" applyBorder="1"/>
    <xf numFmtId="0" fontId="6" fillId="0" borderId="28" xfId="0" applyFont="1" applyBorder="1"/>
    <xf numFmtId="0" fontId="6" fillId="0" borderId="29" xfId="0" applyFont="1" applyBorder="1"/>
    <xf numFmtId="2" fontId="6" fillId="0" borderId="30" xfId="0" applyNumberFormat="1" applyFont="1" applyBorder="1"/>
    <xf numFmtId="0" fontId="6" fillId="0" borderId="5" xfId="0" applyFont="1" applyBorder="1"/>
    <xf numFmtId="0" fontId="5" fillId="0" borderId="31" xfId="0" applyFont="1" applyBorder="1"/>
    <xf numFmtId="0" fontId="6" fillId="4" borderId="27" xfId="0" applyFont="1" applyFill="1" applyBorder="1"/>
    <xf numFmtId="0" fontId="6" fillId="4" borderId="32" xfId="0" applyFont="1" applyFill="1" applyBorder="1"/>
    <xf numFmtId="2" fontId="6" fillId="4" borderId="33" xfId="0" applyNumberFormat="1" applyFont="1" applyFill="1" applyBorder="1"/>
    <xf numFmtId="0" fontId="6" fillId="4" borderId="5" xfId="0" applyFont="1" applyFill="1" applyBorder="1"/>
    <xf numFmtId="0" fontId="5" fillId="4" borderId="31" xfId="0" applyFont="1" applyFill="1" applyBorder="1"/>
    <xf numFmtId="0" fontId="6" fillId="0" borderId="30" xfId="0" applyFont="1" applyBorder="1"/>
    <xf numFmtId="0" fontId="6" fillId="0" borderId="31" xfId="0" applyFont="1" applyBorder="1"/>
    <xf numFmtId="0" fontId="6" fillId="0" borderId="34" xfId="0" applyFont="1" applyBorder="1"/>
    <xf numFmtId="0" fontId="6" fillId="0" borderId="35" xfId="0" applyFont="1" applyBorder="1"/>
    <xf numFmtId="0" fontId="6" fillId="0" borderId="36" xfId="0" applyFont="1" applyBorder="1"/>
    <xf numFmtId="0" fontId="6" fillId="0" borderId="37" xfId="0" applyFont="1" applyBorder="1"/>
    <xf numFmtId="0" fontId="6" fillId="0" borderId="38" xfId="0" applyFont="1" applyBorder="1"/>
    <xf numFmtId="0" fontId="6" fillId="0" borderId="39" xfId="0" applyFont="1" applyBorder="1"/>
    <xf numFmtId="0" fontId="7" fillId="0" borderId="0" xfId="0" applyFont="1"/>
    <xf numFmtId="0" fontId="7" fillId="0" borderId="40" xfId="0" applyFont="1" applyBorder="1"/>
    <xf numFmtId="0" fontId="8" fillId="0" borderId="40" xfId="0" applyFont="1" applyBorder="1"/>
    <xf numFmtId="0" fontId="9" fillId="0" borderId="5" xfId="0" applyFont="1" applyBorder="1"/>
    <xf numFmtId="0" fontId="10" fillId="0" borderId="5" xfId="0" applyFont="1" applyBorder="1"/>
    <xf numFmtId="0" fontId="11" fillId="0" borderId="5" xfId="0" applyFont="1" applyBorder="1"/>
    <xf numFmtId="0" fontId="1" fillId="8" borderId="5" xfId="0" applyFont="1" applyFill="1" applyBorder="1" applyAlignment="1">
      <alignment horizontal="center"/>
    </xf>
    <xf numFmtId="16" fontId="1" fillId="8" borderId="5" xfId="0" applyNumberFormat="1" applyFont="1" applyFill="1" applyBorder="1" applyAlignment="1">
      <alignment horizontal="center"/>
    </xf>
    <xf numFmtId="2" fontId="1" fillId="8" borderId="5" xfId="0" applyNumberFormat="1" applyFont="1" applyFill="1" applyBorder="1" applyAlignment="1">
      <alignment horizontal="center"/>
    </xf>
    <xf numFmtId="165" fontId="1" fillId="8" borderId="5" xfId="0" applyNumberFormat="1" applyFont="1" applyFill="1" applyBorder="1" applyAlignment="1">
      <alignment horizontal="center"/>
    </xf>
    <xf numFmtId="0" fontId="1" fillId="9" borderId="5" xfId="0" applyFont="1" applyFill="1" applyBorder="1"/>
    <xf numFmtId="0" fontId="1" fillId="10" borderId="5" xfId="0" applyFont="1" applyFill="1" applyBorder="1" applyAlignment="1">
      <alignment horizontal="center"/>
    </xf>
    <xf numFmtId="16" fontId="1" fillId="10" borderId="5" xfId="0" applyNumberFormat="1" applyFont="1" applyFill="1" applyBorder="1" applyAlignment="1">
      <alignment horizontal="center"/>
    </xf>
    <xf numFmtId="2" fontId="1" fillId="10" borderId="5" xfId="0" applyNumberFormat="1" applyFont="1" applyFill="1" applyBorder="1" applyAlignment="1">
      <alignment horizontal="center"/>
    </xf>
    <xf numFmtId="165" fontId="1" fillId="10" borderId="5" xfId="0" applyNumberFormat="1" applyFont="1" applyFill="1" applyBorder="1" applyAlignment="1">
      <alignment horizontal="center"/>
    </xf>
    <xf numFmtId="0" fontId="1" fillId="8" borderId="41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16" fontId="1" fillId="11" borderId="5" xfId="0" applyNumberFormat="1" applyFont="1" applyFill="1" applyBorder="1" applyAlignment="1">
      <alignment horizontal="center"/>
    </xf>
    <xf numFmtId="2" fontId="1" fillId="11" borderId="5" xfId="0" applyNumberFormat="1" applyFont="1" applyFill="1" applyBorder="1" applyAlignment="1">
      <alignment horizontal="center"/>
    </xf>
    <xf numFmtId="165" fontId="1" fillId="11" borderId="5" xfId="0" applyNumberFormat="1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16" fontId="1" fillId="12" borderId="5" xfId="0" applyNumberFormat="1" applyFont="1" applyFill="1" applyBorder="1" applyAlignment="1">
      <alignment horizontal="center"/>
    </xf>
    <xf numFmtId="2" fontId="1" fillId="12" borderId="5" xfId="0" applyNumberFormat="1" applyFont="1" applyFill="1" applyBorder="1" applyAlignment="1">
      <alignment horizontal="center"/>
    </xf>
    <xf numFmtId="165" fontId="1" fillId="12" borderId="5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16" fontId="1" fillId="13" borderId="5" xfId="0" applyNumberFormat="1" applyFont="1" applyFill="1" applyBorder="1" applyAlignment="1">
      <alignment horizontal="center"/>
    </xf>
    <xf numFmtId="2" fontId="1" fillId="13" borderId="5" xfId="0" applyNumberFormat="1" applyFont="1" applyFill="1" applyBorder="1" applyAlignment="1">
      <alignment horizontal="center"/>
    </xf>
    <xf numFmtId="165" fontId="1" fillId="13" borderId="5" xfId="0" applyNumberFormat="1" applyFont="1" applyFill="1" applyBorder="1" applyAlignment="1">
      <alignment horizontal="center"/>
    </xf>
    <xf numFmtId="0" fontId="1" fillId="14" borderId="5" xfId="0" applyFont="1" applyFill="1" applyBorder="1" applyAlignment="1">
      <alignment horizontal="center"/>
    </xf>
    <xf numFmtId="16" fontId="1" fillId="14" borderId="5" xfId="0" applyNumberFormat="1" applyFont="1" applyFill="1" applyBorder="1" applyAlignment="1">
      <alignment horizontal="center"/>
    </xf>
    <xf numFmtId="2" fontId="1" fillId="14" borderId="5" xfId="0" applyNumberFormat="1" applyFont="1" applyFill="1" applyBorder="1" applyAlignment="1">
      <alignment horizontal="center"/>
    </xf>
    <xf numFmtId="165" fontId="1" fillId="14" borderId="5" xfId="0" applyNumberFormat="1" applyFont="1" applyFill="1" applyBorder="1" applyAlignment="1">
      <alignment horizontal="center"/>
    </xf>
    <xf numFmtId="0" fontId="1" fillId="15" borderId="5" xfId="0" applyFont="1" applyFill="1" applyBorder="1" applyAlignment="1">
      <alignment horizontal="center"/>
    </xf>
    <xf numFmtId="16" fontId="1" fillId="15" borderId="5" xfId="0" applyNumberFormat="1" applyFont="1" applyFill="1" applyBorder="1" applyAlignment="1">
      <alignment horizontal="center"/>
    </xf>
    <xf numFmtId="2" fontId="1" fillId="15" borderId="5" xfId="0" applyNumberFormat="1" applyFont="1" applyFill="1" applyBorder="1" applyAlignment="1">
      <alignment horizontal="center"/>
    </xf>
    <xf numFmtId="165" fontId="1" fillId="15" borderId="5" xfId="0" applyNumberFormat="1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16" fontId="1" fillId="16" borderId="5" xfId="0" applyNumberFormat="1" applyFont="1" applyFill="1" applyBorder="1" applyAlignment="1">
      <alignment horizontal="center"/>
    </xf>
    <xf numFmtId="2" fontId="1" fillId="16" borderId="5" xfId="0" applyNumberFormat="1" applyFont="1" applyFill="1" applyBorder="1" applyAlignment="1">
      <alignment horizontal="center"/>
    </xf>
    <xf numFmtId="165" fontId="1" fillId="16" borderId="5" xfId="0" applyNumberFormat="1" applyFont="1" applyFill="1" applyBorder="1" applyAlignment="1">
      <alignment horizontal="center"/>
    </xf>
    <xf numFmtId="1" fontId="1" fillId="11" borderId="5" xfId="0" applyNumberFormat="1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 wrapText="1"/>
    </xf>
    <xf numFmtId="16" fontId="1" fillId="11" borderId="5" xfId="0" applyNumberFormat="1" applyFont="1" applyFill="1" applyBorder="1" applyAlignment="1">
      <alignment horizontal="center" wrapText="1"/>
    </xf>
    <xf numFmtId="2" fontId="1" fillId="11" borderId="5" xfId="0" applyNumberFormat="1" applyFont="1" applyFill="1" applyBorder="1" applyAlignment="1">
      <alignment horizontal="center" wrapText="1"/>
    </xf>
    <xf numFmtId="165" fontId="1" fillId="11" borderId="5" xfId="0" applyNumberFormat="1" applyFont="1" applyFill="1" applyBorder="1" applyAlignment="1">
      <alignment horizontal="center" wrapText="1"/>
    </xf>
    <xf numFmtId="0" fontId="1" fillId="17" borderId="5" xfId="0" applyFont="1" applyFill="1" applyBorder="1" applyAlignment="1">
      <alignment horizontal="center"/>
    </xf>
    <xf numFmtId="16" fontId="1" fillId="17" borderId="5" xfId="0" applyNumberFormat="1" applyFont="1" applyFill="1" applyBorder="1" applyAlignment="1">
      <alignment horizontal="center"/>
    </xf>
    <xf numFmtId="2" fontId="1" fillId="17" borderId="5" xfId="0" applyNumberFormat="1" applyFont="1" applyFill="1" applyBorder="1" applyAlignment="1">
      <alignment horizontal="center"/>
    </xf>
    <xf numFmtId="165" fontId="1" fillId="17" borderId="5" xfId="0" applyNumberFormat="1" applyFont="1" applyFill="1" applyBorder="1" applyAlignment="1">
      <alignment horizontal="center"/>
    </xf>
    <xf numFmtId="0" fontId="1" fillId="18" borderId="5" xfId="0" applyFont="1" applyFill="1" applyBorder="1" applyAlignment="1">
      <alignment horizontal="center"/>
    </xf>
    <xf numFmtId="16" fontId="1" fillId="18" borderId="5" xfId="0" applyNumberFormat="1" applyFont="1" applyFill="1" applyBorder="1" applyAlignment="1">
      <alignment horizontal="center"/>
    </xf>
    <xf numFmtId="2" fontId="1" fillId="18" borderId="5" xfId="0" applyNumberFormat="1" applyFont="1" applyFill="1" applyBorder="1" applyAlignment="1">
      <alignment horizontal="center"/>
    </xf>
    <xf numFmtId="165" fontId="1" fillId="18" borderId="5" xfId="0" applyNumberFormat="1" applyFont="1" applyFill="1" applyBorder="1" applyAlignment="1">
      <alignment horizontal="center"/>
    </xf>
    <xf numFmtId="2" fontId="1" fillId="17" borderId="5" xfId="0" applyNumberFormat="1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/>
    <xf numFmtId="0" fontId="1" fillId="0" borderId="8" xfId="0" applyFont="1" applyBorder="1" applyAlignment="1">
      <alignment horizontal="right"/>
    </xf>
    <xf numFmtId="0" fontId="0" fillId="0" borderId="0" xfId="0"/>
    <xf numFmtId="0" fontId="1" fillId="0" borderId="11" xfId="0" applyFont="1" applyBorder="1" applyAlignment="1">
      <alignment horizontal="right"/>
    </xf>
    <xf numFmtId="0" fontId="2" fillId="0" borderId="12" xfId="0" applyFont="1" applyBorder="1"/>
    <xf numFmtId="0" fontId="1" fillId="0" borderId="8" xfId="0" applyFont="1" applyBorder="1" applyAlignment="1">
      <alignment horizontal="left"/>
    </xf>
    <xf numFmtId="0" fontId="2" fillId="0" borderId="10" xfId="0" applyFont="1" applyBorder="1"/>
    <xf numFmtId="0" fontId="1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1" fillId="0" borderId="2" xfId="0" applyFont="1" applyBorder="1" applyAlignment="1">
      <alignment horizontal="right" vertical="center"/>
    </xf>
    <xf numFmtId="0" fontId="2" fillId="0" borderId="3" xfId="0" applyFont="1" applyBorder="1"/>
    <xf numFmtId="0" fontId="1" fillId="4" borderId="11" xfId="0" applyFont="1" applyFill="1" applyBorder="1" applyAlignment="1">
      <alignment horizontal="right"/>
    </xf>
    <xf numFmtId="0" fontId="2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externalLink" Target="externalLinks/externalLink1.xml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eaufort%20Poultry/AppData/Roaming/Microsoft/Excel/Beaufort%20Feed%20Order%20(90).xlsx%20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mption Guide"/>
      <sheetName val="Beaufort SHED 1-2"/>
      <sheetName val="Beaufort SHED 3-4"/>
      <sheetName val="Beaufort SHED 5-6"/>
      <sheetName val="Beaufort SHED 7-8"/>
      <sheetName val="Sheed 9 10"/>
      <sheetName val="Shed 11 12"/>
      <sheetName val="Sheed 13 14"/>
      <sheetName val="Sheed 15 16"/>
      <sheetName val="Batch Rec"/>
      <sheetName val="Order Sheet "/>
      <sheetName val="Weekly Stocktake Sheet"/>
      <sheetName val="Feed Re Allocation Adv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0"/>
  <sheetViews>
    <sheetView tabSelected="1" topLeftCell="O53" zoomScale="118" zoomScaleNormal="118" workbookViewId="0">
      <selection activeCell="AL19" sqref="AL19"/>
    </sheetView>
  </sheetViews>
  <sheetFormatPr defaultColWidth="12.67578125" defaultRowHeight="15" customHeight="1" x14ac:dyDescent="0.15"/>
  <cols>
    <col min="1" max="1" width="16.98828125" customWidth="1"/>
    <col min="2" max="2" width="10.3828125" customWidth="1"/>
    <col min="3" max="3" width="11.4609375" customWidth="1"/>
    <col min="4" max="4" width="12.5390625" customWidth="1"/>
    <col min="5" max="5" width="9.16796875" customWidth="1"/>
    <col min="6" max="6" width="7.55078125" customWidth="1"/>
    <col min="7" max="7" width="13.6171875" customWidth="1"/>
    <col min="8" max="8" width="11.32421875" customWidth="1"/>
    <col min="9" max="9" width="13.484375" customWidth="1"/>
    <col min="10" max="10" width="9.16796875" customWidth="1"/>
    <col min="11" max="11" width="19.8203125" customWidth="1"/>
    <col min="12" max="12" width="12.80859375" customWidth="1"/>
    <col min="13" max="13" width="11.32421875" customWidth="1"/>
    <col min="14" max="14" width="12.5390625" customWidth="1"/>
    <col min="15" max="15" width="9.16796875" customWidth="1"/>
    <col min="16" max="16" width="12.5390625" customWidth="1"/>
    <col min="17" max="17" width="15.5078125" customWidth="1"/>
    <col min="18" max="18" width="12.13671875" customWidth="1"/>
    <col min="19" max="19" width="12.5390625" customWidth="1"/>
    <col min="20" max="20" width="5.93359375" customWidth="1"/>
    <col min="21" max="21" width="14.5625" customWidth="1"/>
    <col min="22" max="22" width="10.921875" customWidth="1"/>
    <col min="23" max="23" width="14.5625" customWidth="1"/>
    <col min="24" max="24" width="7.953125" customWidth="1"/>
    <col min="25" max="25" width="5.93359375" customWidth="1"/>
    <col min="26" max="26" width="13.484375" customWidth="1"/>
    <col min="27" max="27" width="16.31640625" customWidth="1"/>
    <col min="28" max="28" width="11.4609375" customWidth="1"/>
    <col min="29" max="29" width="11.8671875" customWidth="1"/>
    <col min="30" max="30" width="9.16796875" customWidth="1"/>
    <col min="31" max="31" width="3.91015625" customWidth="1"/>
    <col min="32" max="32" width="15.91015625" customWidth="1"/>
    <col min="33" max="33" width="16.98828125" customWidth="1"/>
    <col min="34" max="34" width="13.88671875" customWidth="1"/>
    <col min="35" max="36" width="9.16796875" customWidth="1"/>
    <col min="37" max="37" width="16.98828125" customWidth="1"/>
    <col min="38" max="38" width="16.44921875" customWidth="1"/>
    <col min="39" max="39" width="17.93359375" customWidth="1"/>
    <col min="40" max="40" width="9.16796875" customWidth="1"/>
  </cols>
  <sheetData>
    <row r="1" spans="1:40" ht="17.45" customHeight="1" x14ac:dyDescent="0.2">
      <c r="A1" s="1" t="s">
        <v>0</v>
      </c>
      <c r="B1" s="1" t="s">
        <v>1</v>
      </c>
      <c r="C1" s="1"/>
      <c r="D1" s="1"/>
      <c r="E1" s="196" t="s">
        <v>2</v>
      </c>
      <c r="F1" s="191"/>
      <c r="G1" s="3">
        <v>118</v>
      </c>
      <c r="H1" s="2"/>
      <c r="I1" s="1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7.45" customHeight="1" x14ac:dyDescent="0.2">
      <c r="A2" s="1" t="s">
        <v>3</v>
      </c>
      <c r="B2" s="197">
        <v>46035</v>
      </c>
      <c r="C2" s="198"/>
      <c r="D2" s="1"/>
      <c r="E2" s="1"/>
      <c r="F2" s="1"/>
      <c r="G2" s="1"/>
      <c r="H2" s="1"/>
      <c r="I2" s="1"/>
      <c r="J2" s="4"/>
      <c r="K2" s="1"/>
      <c r="L2" s="1"/>
      <c r="M2" s="1"/>
      <c r="N2" s="1"/>
      <c r="O2" s="1"/>
      <c r="P2" s="1"/>
      <c r="Q2" s="1"/>
      <c r="R2" s="1"/>
      <c r="S2" s="1"/>
      <c r="T2" s="5"/>
      <c r="U2" s="5"/>
      <c r="V2" s="5"/>
      <c r="W2" s="5"/>
      <c r="X2" s="5"/>
      <c r="Y2" s="5"/>
      <c r="Z2" s="5"/>
      <c r="AA2" s="5"/>
      <c r="AB2" s="5"/>
      <c r="AC2" s="5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17.45" customHeight="1" x14ac:dyDescent="0.2">
      <c r="A3" s="6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8" t="s">
        <v>9</v>
      </c>
      <c r="G3" s="8" t="s">
        <v>10</v>
      </c>
      <c r="H3" s="7" t="s">
        <v>11</v>
      </c>
      <c r="I3" s="9" t="s">
        <v>12</v>
      </c>
      <c r="J3" s="10"/>
      <c r="K3" s="6" t="s">
        <v>13</v>
      </c>
      <c r="L3" s="7" t="s">
        <v>5</v>
      </c>
      <c r="M3" s="7" t="s">
        <v>6</v>
      </c>
      <c r="N3" s="7" t="s">
        <v>7</v>
      </c>
      <c r="O3" s="7" t="s">
        <v>8</v>
      </c>
      <c r="P3" s="8" t="s">
        <v>9</v>
      </c>
      <c r="Q3" s="8" t="s">
        <v>10</v>
      </c>
      <c r="R3" s="7" t="s">
        <v>11</v>
      </c>
      <c r="S3" s="9" t="s">
        <v>12</v>
      </c>
      <c r="T3" s="11"/>
      <c r="U3" s="6" t="s">
        <v>14</v>
      </c>
      <c r="V3" s="7" t="s">
        <v>5</v>
      </c>
      <c r="W3" s="7" t="s">
        <v>6</v>
      </c>
      <c r="X3" s="7" t="s">
        <v>7</v>
      </c>
      <c r="Y3" s="7" t="s">
        <v>8</v>
      </c>
      <c r="Z3" s="8" t="s">
        <v>9</v>
      </c>
      <c r="AA3" s="8" t="s">
        <v>10</v>
      </c>
      <c r="AB3" s="9" t="s">
        <v>11</v>
      </c>
      <c r="AC3" s="9" t="s">
        <v>12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30.2" customHeight="1" x14ac:dyDescent="0.2">
      <c r="A4" s="12" t="s">
        <v>15</v>
      </c>
      <c r="B4" s="13">
        <v>41500</v>
      </c>
      <c r="C4" s="14"/>
      <c r="D4" s="12"/>
      <c r="E4" s="12"/>
      <c r="F4" s="15"/>
      <c r="G4" s="15"/>
      <c r="H4" s="12"/>
      <c r="I4" s="12"/>
      <c r="J4" s="4"/>
      <c r="K4" s="12" t="s">
        <v>15</v>
      </c>
      <c r="L4" s="13">
        <v>41900</v>
      </c>
      <c r="M4" s="12"/>
      <c r="N4" s="12"/>
      <c r="O4" s="12"/>
      <c r="P4" s="15"/>
      <c r="Q4" s="15"/>
      <c r="R4" s="12"/>
      <c r="S4" s="12"/>
      <c r="T4" s="5"/>
      <c r="U4" s="12" t="s">
        <v>15</v>
      </c>
      <c r="V4" s="13">
        <v>41700</v>
      </c>
      <c r="W4" s="12"/>
      <c r="X4" s="12"/>
      <c r="Y4" s="12"/>
      <c r="Z4" s="15"/>
      <c r="AA4" s="15"/>
      <c r="AB4" s="12"/>
      <c r="AC4" s="12"/>
      <c r="AD4" s="1"/>
      <c r="AE4" s="1"/>
      <c r="AF4" s="199" t="s">
        <v>16</v>
      </c>
      <c r="AG4" s="200"/>
      <c r="AH4" s="16">
        <v>717400</v>
      </c>
      <c r="AI4" s="17"/>
      <c r="AJ4" s="18" t="s">
        <v>17</v>
      </c>
      <c r="AK4" s="19"/>
      <c r="AL4" s="20">
        <v>157000</v>
      </c>
      <c r="AM4" s="188" t="s">
        <v>18</v>
      </c>
      <c r="AN4" s="189"/>
    </row>
    <row r="5" spans="1:40" ht="17.45" customHeight="1" x14ac:dyDescent="0.2">
      <c r="A5" s="12" t="s">
        <v>19</v>
      </c>
      <c r="B5" s="21">
        <v>2164</v>
      </c>
      <c r="C5" s="22">
        <f>B5/B4</f>
        <v>5.2144578313253011E-2</v>
      </c>
      <c r="D5" s="23"/>
      <c r="E5" s="23"/>
      <c r="F5" s="24"/>
      <c r="G5" s="25"/>
      <c r="H5" s="26"/>
      <c r="I5" s="26"/>
      <c r="J5" s="4"/>
      <c r="K5" s="12" t="s">
        <v>19</v>
      </c>
      <c r="L5" s="27">
        <v>2916</v>
      </c>
      <c r="M5" s="28">
        <f>L5/L4</f>
        <v>6.959427207637231E-2</v>
      </c>
      <c r="N5" s="12"/>
      <c r="O5" s="12"/>
      <c r="P5" s="29"/>
      <c r="Q5" s="15"/>
      <c r="R5" s="12"/>
      <c r="S5" s="12"/>
      <c r="T5" s="5"/>
      <c r="U5" s="12" t="s">
        <v>19</v>
      </c>
      <c r="V5" s="27">
        <v>3860</v>
      </c>
      <c r="W5" s="30">
        <f>V5/V4</f>
        <v>9.2565947242206237E-2</v>
      </c>
      <c r="X5" s="12"/>
      <c r="Y5" s="12"/>
      <c r="Z5" s="29"/>
      <c r="AA5" s="15"/>
      <c r="AB5" s="12"/>
      <c r="AC5" s="12"/>
      <c r="AD5" s="1"/>
      <c r="AE5" s="1"/>
      <c r="AF5" s="190" t="s">
        <v>20</v>
      </c>
      <c r="AG5" s="191"/>
      <c r="AH5" s="32">
        <f>(B5+L5+V5+B21+L21+V21+B37+L37+V37 +B53+L53+ V53+B69+L69+V69+B85)/AH4</f>
        <v>5.5533872316699193E-2</v>
      </c>
      <c r="AI5" s="1"/>
      <c r="AJ5" s="33" t="s">
        <v>21</v>
      </c>
      <c r="AK5" s="34"/>
      <c r="AL5" s="35">
        <v>2898460</v>
      </c>
      <c r="AM5" s="1" t="s">
        <v>22</v>
      </c>
      <c r="AN5" s="34">
        <f>(1.78/AL11)</f>
        <v>1.3087320130700941</v>
      </c>
    </row>
    <row r="6" spans="1:40" ht="17.45" customHeight="1" x14ac:dyDescent="0.2">
      <c r="A6" s="12"/>
      <c r="B6" s="150">
        <v>6688</v>
      </c>
      <c r="C6" s="151">
        <v>46067</v>
      </c>
      <c r="D6" s="150">
        <v>30</v>
      </c>
      <c r="E6" s="150" t="s">
        <v>23</v>
      </c>
      <c r="F6" s="152">
        <v>2.04</v>
      </c>
      <c r="G6" s="152">
        <f t="shared" ref="G6:G15" si="0">B6*F6</f>
        <v>13643.52</v>
      </c>
      <c r="H6" s="153">
        <f>F6/1.805</f>
        <v>1.1301939058171746</v>
      </c>
      <c r="I6" s="174">
        <f t="shared" ref="I6:I15" si="1">B6*D6</f>
        <v>200640</v>
      </c>
      <c r="J6" s="4"/>
      <c r="K6" s="12"/>
      <c r="L6" s="150">
        <v>6336</v>
      </c>
      <c r="M6" s="151">
        <v>46070</v>
      </c>
      <c r="N6" s="174">
        <v>33</v>
      </c>
      <c r="O6" s="150" t="s">
        <v>23</v>
      </c>
      <c r="P6" s="152">
        <v>2.17</v>
      </c>
      <c r="Q6" s="152">
        <f t="shared" ref="Q6:Q15" si="2">L6*P6</f>
        <v>13749.119999999999</v>
      </c>
      <c r="R6" s="153">
        <f>P6/2.097</f>
        <v>1.0348116356700048</v>
      </c>
      <c r="S6" s="150">
        <f>L6*N6</f>
        <v>209088</v>
      </c>
      <c r="T6" s="5"/>
      <c r="U6" s="12"/>
      <c r="V6" s="174">
        <v>6336</v>
      </c>
      <c r="W6" s="151">
        <v>46071</v>
      </c>
      <c r="X6" s="150">
        <v>33</v>
      </c>
      <c r="Y6" s="150" t="s">
        <v>23</v>
      </c>
      <c r="Z6" s="152">
        <v>2.2799999999999998</v>
      </c>
      <c r="AA6" s="152">
        <f t="shared" ref="AA6:AA15" si="3">V6*Z6</f>
        <v>14446.079999999998</v>
      </c>
      <c r="AB6" s="153">
        <f>Z6/2.097</f>
        <v>1.0872675250357653</v>
      </c>
      <c r="AC6" s="150">
        <f t="shared" ref="AC6:AC14" si="4">V6*X6</f>
        <v>209088</v>
      </c>
      <c r="AD6" s="1"/>
      <c r="AE6" s="1"/>
      <c r="AF6" s="190" t="s">
        <v>24</v>
      </c>
      <c r="AG6" s="191"/>
      <c r="AH6" s="40">
        <f>G16+Q16+AA16+G32+Q32+AA32+G48+Q48+G64+Q64+G80+Q80+AA80+G96+AA48+AA64</f>
        <v>1961736.4</v>
      </c>
      <c r="AI6" s="41"/>
      <c r="AJ6" s="194" t="s">
        <v>25</v>
      </c>
      <c r="AK6" s="195"/>
      <c r="AL6" s="35">
        <v>151000</v>
      </c>
      <c r="AM6" s="1" t="s">
        <v>26</v>
      </c>
      <c r="AN6" s="34">
        <f>(39.5/AH12)</f>
        <v>1.1620564783639622</v>
      </c>
    </row>
    <row r="7" spans="1:40" ht="17.45" customHeight="1" x14ac:dyDescent="0.2">
      <c r="A7" s="12"/>
      <c r="B7" s="150">
        <v>5984</v>
      </c>
      <c r="C7" s="151">
        <v>46070</v>
      </c>
      <c r="D7" s="150">
        <v>33</v>
      </c>
      <c r="E7" s="150" t="s">
        <v>23</v>
      </c>
      <c r="F7" s="152">
        <v>2.23</v>
      </c>
      <c r="G7" s="152">
        <f t="shared" si="0"/>
        <v>13344.32</v>
      </c>
      <c r="H7" s="153">
        <f>F7/2.097</f>
        <v>1.0634239389604196</v>
      </c>
      <c r="I7" s="150">
        <f t="shared" si="1"/>
        <v>197472</v>
      </c>
      <c r="J7" s="4"/>
      <c r="K7" s="12"/>
      <c r="L7" s="150">
        <v>5984</v>
      </c>
      <c r="M7" s="151">
        <v>46071</v>
      </c>
      <c r="N7" s="150">
        <v>35</v>
      </c>
      <c r="O7" s="150" t="s">
        <v>23</v>
      </c>
      <c r="P7" s="152">
        <v>2.42</v>
      </c>
      <c r="Q7" s="152">
        <f t="shared" si="2"/>
        <v>14481.279999999999</v>
      </c>
      <c r="R7" s="153">
        <f>P7/2.296</f>
        <v>1.0540069686411151</v>
      </c>
      <c r="S7" s="150">
        <f>L7*N7</f>
        <v>209440</v>
      </c>
      <c r="T7" s="5"/>
      <c r="U7" s="12"/>
      <c r="V7" s="150">
        <v>6160</v>
      </c>
      <c r="W7" s="151">
        <v>46074</v>
      </c>
      <c r="X7" s="150">
        <v>35</v>
      </c>
      <c r="Y7" s="150" t="s">
        <v>23</v>
      </c>
      <c r="Z7" s="152">
        <v>2.23</v>
      </c>
      <c r="AA7" s="152">
        <f t="shared" si="3"/>
        <v>13736.8</v>
      </c>
      <c r="AB7" s="153">
        <f>Z7/2.296</f>
        <v>0.97125435540069693</v>
      </c>
      <c r="AC7" s="150">
        <f t="shared" si="4"/>
        <v>215600</v>
      </c>
      <c r="AD7" s="1"/>
      <c r="AE7" s="1"/>
      <c r="AF7" s="192" t="s">
        <v>27</v>
      </c>
      <c r="AG7" s="193"/>
      <c r="AH7" s="42">
        <f>B16+L16+V16+B32+L32+V32+B48+L48+V48+B64+L64+V64+B80+L80+V80+B96</f>
        <v>677360</v>
      </c>
      <c r="AI7" s="43">
        <f>AH7/AH6</f>
        <v>0.3452859415770641</v>
      </c>
      <c r="AJ7" s="44" t="s">
        <v>28</v>
      </c>
      <c r="AK7" s="45"/>
      <c r="AL7" s="46">
        <f>AL4+AL5-AL6</f>
        <v>2904460</v>
      </c>
      <c r="AM7" s="47" t="s">
        <v>29</v>
      </c>
      <c r="AN7" s="47">
        <f>((AN5*0.7)+(AN6*0.3))</f>
        <v>1.2647293526582544</v>
      </c>
    </row>
    <row r="8" spans="1:40" ht="17.45" customHeight="1" x14ac:dyDescent="0.2">
      <c r="A8" s="12"/>
      <c r="B8" s="150">
        <v>6600</v>
      </c>
      <c r="C8" s="151">
        <v>46076</v>
      </c>
      <c r="D8" s="150">
        <v>40</v>
      </c>
      <c r="E8" s="150" t="s">
        <v>30</v>
      </c>
      <c r="F8" s="152">
        <v>2.93</v>
      </c>
      <c r="G8" s="152">
        <f t="shared" si="0"/>
        <v>19338</v>
      </c>
      <c r="H8" s="153">
        <f>F8/2.798</f>
        <v>1.0471765546819156</v>
      </c>
      <c r="I8" s="150">
        <f t="shared" si="1"/>
        <v>264000</v>
      </c>
      <c r="J8" s="4"/>
      <c r="K8" s="12"/>
      <c r="L8" s="150">
        <v>6600</v>
      </c>
      <c r="M8" s="151">
        <v>46076</v>
      </c>
      <c r="N8" s="150">
        <v>40</v>
      </c>
      <c r="O8" s="150" t="s">
        <v>30</v>
      </c>
      <c r="P8" s="152">
        <v>2.92</v>
      </c>
      <c r="Q8" s="152">
        <f t="shared" si="2"/>
        <v>19272</v>
      </c>
      <c r="R8" s="153">
        <f>P8/2.798</f>
        <v>1.043602573266619</v>
      </c>
      <c r="S8" s="150">
        <f>L8*N8</f>
        <v>264000</v>
      </c>
      <c r="T8" s="5"/>
      <c r="U8" s="12"/>
      <c r="V8" s="150">
        <v>6864</v>
      </c>
      <c r="W8" s="151">
        <v>46077</v>
      </c>
      <c r="X8" s="150">
        <v>38</v>
      </c>
      <c r="Y8" s="150" t="s">
        <v>30</v>
      </c>
      <c r="Z8" s="152">
        <v>2.89</v>
      </c>
      <c r="AA8" s="152">
        <f t="shared" si="3"/>
        <v>19836.96</v>
      </c>
      <c r="AB8" s="153">
        <f>Z8/2.597</f>
        <v>1.1128224874855603</v>
      </c>
      <c r="AC8" s="150">
        <f t="shared" si="4"/>
        <v>260832</v>
      </c>
      <c r="AD8" s="1"/>
      <c r="AE8" s="1"/>
      <c r="AF8" s="190" t="s">
        <v>31</v>
      </c>
      <c r="AG8" s="191"/>
      <c r="AH8" s="40">
        <f>D16+N16+X16+D32+N32+X32+D48+N48+X48+D64+N64+X64+D80+N80+X80+D96</f>
        <v>2705</v>
      </c>
      <c r="AI8" s="1"/>
      <c r="AJ8" s="33"/>
      <c r="AK8" s="34"/>
      <c r="AL8" s="48"/>
      <c r="AM8" s="1"/>
      <c r="AN8" s="34" t="s">
        <v>32</v>
      </c>
    </row>
    <row r="9" spans="1:40" ht="17.45" customHeight="1" x14ac:dyDescent="0.2">
      <c r="A9" s="12"/>
      <c r="B9" s="150">
        <v>20064</v>
      </c>
      <c r="C9" s="151">
        <v>46081</v>
      </c>
      <c r="D9" s="150">
        <v>44</v>
      </c>
      <c r="E9" s="150" t="s">
        <v>30</v>
      </c>
      <c r="F9" s="152">
        <v>3.26</v>
      </c>
      <c r="G9" s="152">
        <f t="shared" si="0"/>
        <v>65408.639999999992</v>
      </c>
      <c r="H9" s="153">
        <f>F9/3.197</f>
        <v>1.019705974350954</v>
      </c>
      <c r="I9" s="150">
        <f t="shared" si="1"/>
        <v>882816</v>
      </c>
      <c r="J9" s="4"/>
      <c r="K9" s="12"/>
      <c r="L9" s="150">
        <v>20064</v>
      </c>
      <c r="M9" s="151">
        <v>46081</v>
      </c>
      <c r="N9" s="150">
        <v>44</v>
      </c>
      <c r="O9" s="150" t="s">
        <v>30</v>
      </c>
      <c r="P9" s="152">
        <v>3.33</v>
      </c>
      <c r="Q9" s="152">
        <f t="shared" si="2"/>
        <v>66813.119999999995</v>
      </c>
      <c r="R9" s="153">
        <f>P9/3.197</f>
        <v>1.0416015014075697</v>
      </c>
      <c r="S9" s="150">
        <f>L9*N9</f>
        <v>882816</v>
      </c>
      <c r="T9" s="5"/>
      <c r="U9" s="12"/>
      <c r="V9" s="150">
        <v>18480</v>
      </c>
      <c r="W9" s="151">
        <v>46083</v>
      </c>
      <c r="X9" s="150">
        <v>45</v>
      </c>
      <c r="Y9" s="150" t="s">
        <v>30</v>
      </c>
      <c r="Z9" s="152">
        <v>3.61</v>
      </c>
      <c r="AA9" s="152">
        <f t="shared" si="3"/>
        <v>66712.800000000003</v>
      </c>
      <c r="AB9" s="153">
        <f>Z9/3.295</f>
        <v>1.0955993930197268</v>
      </c>
      <c r="AC9" s="150">
        <f t="shared" si="4"/>
        <v>831600</v>
      </c>
      <c r="AD9" s="1"/>
      <c r="AE9" s="1"/>
      <c r="AF9" s="192" t="s">
        <v>33</v>
      </c>
      <c r="AG9" s="193"/>
      <c r="AH9" s="49">
        <f>AH6/AH7</f>
        <v>2.8961503484114797</v>
      </c>
      <c r="AI9" s="50"/>
      <c r="AJ9" s="44" t="s">
        <v>34</v>
      </c>
      <c r="AK9" s="45"/>
      <c r="AL9" s="51">
        <f>AL7/AH6</f>
        <v>1.4805556954542924</v>
      </c>
      <c r="AM9" s="50" t="s">
        <v>35</v>
      </c>
      <c r="AN9" s="45">
        <f>AN7*0.005</f>
        <v>6.3236467632912718E-3</v>
      </c>
    </row>
    <row r="10" spans="1:40" ht="17.45" customHeight="1" x14ac:dyDescent="0.2">
      <c r="A10" s="12"/>
      <c r="B10" s="36"/>
      <c r="C10" s="37"/>
      <c r="D10" s="36"/>
      <c r="E10" s="36"/>
      <c r="F10" s="38"/>
      <c r="G10" s="38">
        <f t="shared" si="0"/>
        <v>0</v>
      </c>
      <c r="H10" s="39">
        <f>F10/3.524</f>
        <v>0</v>
      </c>
      <c r="I10" s="36">
        <f t="shared" si="1"/>
        <v>0</v>
      </c>
      <c r="J10" s="4"/>
      <c r="K10" s="12"/>
      <c r="L10" s="36"/>
      <c r="M10" s="37"/>
      <c r="N10" s="36"/>
      <c r="O10" s="36"/>
      <c r="P10" s="38"/>
      <c r="Q10" s="38">
        <f t="shared" si="2"/>
        <v>0</v>
      </c>
      <c r="R10" s="39">
        <f>P10/3.776</f>
        <v>0</v>
      </c>
      <c r="S10" s="36">
        <f>L10*N10</f>
        <v>0</v>
      </c>
      <c r="T10" s="5"/>
      <c r="U10" s="12"/>
      <c r="V10" s="145"/>
      <c r="W10" s="146"/>
      <c r="X10" s="145"/>
      <c r="Y10" s="145"/>
      <c r="Z10" s="147"/>
      <c r="AA10" s="147">
        <f t="shared" si="3"/>
        <v>0</v>
      </c>
      <c r="AB10" s="148">
        <f>Z10/3.681</f>
        <v>0</v>
      </c>
      <c r="AC10" s="145">
        <f t="shared" si="4"/>
        <v>0</v>
      </c>
      <c r="AD10" s="1"/>
      <c r="AE10" s="1"/>
      <c r="AF10" s="31"/>
      <c r="AG10" s="54"/>
      <c r="AH10" s="55"/>
      <c r="AI10" s="1"/>
      <c r="AJ10" s="33"/>
      <c r="AK10" s="34"/>
      <c r="AL10" s="55"/>
      <c r="AM10" s="1"/>
      <c r="AN10" s="34"/>
    </row>
    <row r="11" spans="1:40" ht="17.45" customHeight="1" x14ac:dyDescent="0.2">
      <c r="A11" s="12"/>
      <c r="B11" s="13"/>
      <c r="C11" s="56"/>
      <c r="D11" s="13"/>
      <c r="E11" s="13"/>
      <c r="F11" s="57"/>
      <c r="G11" s="57">
        <f t="shared" si="0"/>
        <v>0</v>
      </c>
      <c r="H11" s="58">
        <f>F11/3.573</f>
        <v>0</v>
      </c>
      <c r="I11" s="13">
        <f t="shared" si="1"/>
        <v>0</v>
      </c>
      <c r="J11" s="4"/>
      <c r="K11" s="12"/>
      <c r="L11" s="23"/>
      <c r="M11" s="52"/>
      <c r="N11" s="149"/>
      <c r="O11" s="23"/>
      <c r="P11" s="53"/>
      <c r="Q11" s="53">
        <f t="shared" si="2"/>
        <v>0</v>
      </c>
      <c r="R11" s="24">
        <f>P11/4.16</f>
        <v>0</v>
      </c>
      <c r="S11" s="23">
        <f>L11*N10</f>
        <v>0</v>
      </c>
      <c r="T11" s="5"/>
      <c r="U11" s="12"/>
      <c r="V11" s="13"/>
      <c r="W11" s="56"/>
      <c r="X11" s="13"/>
      <c r="Y11" s="13"/>
      <c r="Z11" s="57"/>
      <c r="AA11" s="57">
        <f t="shared" si="3"/>
        <v>0</v>
      </c>
      <c r="AB11" s="58">
        <f>Z11/3.711</f>
        <v>0</v>
      </c>
      <c r="AC11" s="13">
        <f t="shared" si="4"/>
        <v>0</v>
      </c>
      <c r="AD11" s="1"/>
      <c r="AE11" s="1"/>
      <c r="AF11" s="192" t="s">
        <v>12</v>
      </c>
      <c r="AG11" s="193"/>
      <c r="AH11" s="49">
        <f>SUM(I17+S17+AC17+I33+S33+AC33+I49+S49+AC49+I65+S65+AC65+I81+S81+AC81+I97)/16</f>
        <v>40.020521944564095</v>
      </c>
      <c r="AI11" s="50"/>
      <c r="AJ11" s="59" t="s">
        <v>36</v>
      </c>
      <c r="AK11" s="47"/>
      <c r="AL11" s="60">
        <f>AL9-((AH9-2.45)*0.27)</f>
        <v>1.360095101383193</v>
      </c>
      <c r="AM11" s="50"/>
      <c r="AN11" s="45"/>
    </row>
    <row r="12" spans="1:40" ht="17.45" customHeight="1" x14ac:dyDescent="0.2">
      <c r="A12" s="12"/>
      <c r="B12" s="61"/>
      <c r="C12" s="62"/>
      <c r="D12" s="13"/>
      <c r="E12" s="13"/>
      <c r="F12" s="57"/>
      <c r="G12" s="57">
        <f t="shared" si="0"/>
        <v>0</v>
      </c>
      <c r="H12" s="58">
        <f>F12/3.603</f>
        <v>0</v>
      </c>
      <c r="I12" s="13">
        <f t="shared" si="1"/>
        <v>0</v>
      </c>
      <c r="J12" s="4"/>
      <c r="K12" s="12"/>
      <c r="L12" s="63"/>
      <c r="M12" s="56"/>
      <c r="N12" s="13"/>
      <c r="O12" s="13"/>
      <c r="P12" s="57"/>
      <c r="Q12" s="57">
        <f t="shared" si="2"/>
        <v>0</v>
      </c>
      <c r="R12" s="58">
        <f>P12/3.393</f>
        <v>0</v>
      </c>
      <c r="S12" s="13">
        <f>L12*N12</f>
        <v>0</v>
      </c>
      <c r="T12" s="5"/>
      <c r="U12" s="12"/>
      <c r="V12" s="13"/>
      <c r="W12" s="56"/>
      <c r="X12" s="13"/>
      <c r="Y12" s="13"/>
      <c r="Z12" s="57"/>
      <c r="AA12" s="57">
        <f t="shared" si="3"/>
        <v>0</v>
      </c>
      <c r="AB12" s="58">
        <f>Z12/3.743</f>
        <v>0</v>
      </c>
      <c r="AC12" s="13">
        <f t="shared" si="4"/>
        <v>0</v>
      </c>
      <c r="AD12" s="1"/>
      <c r="AE12" s="1"/>
      <c r="AF12" s="201" t="s">
        <v>37</v>
      </c>
      <c r="AG12" s="202"/>
      <c r="AH12" s="64">
        <f>AH11-(((AH9-2.45)*1000)/74)</f>
        <v>33.991463182246804</v>
      </c>
      <c r="AI12" s="1"/>
      <c r="AJ12" s="33"/>
      <c r="AK12" s="34"/>
      <c r="AL12" s="48"/>
      <c r="AM12" s="1"/>
      <c r="AN12" s="34"/>
    </row>
    <row r="13" spans="1:40" ht="17.45" customHeight="1" x14ac:dyDescent="0.2">
      <c r="A13" s="12"/>
      <c r="B13" s="13"/>
      <c r="C13" s="62"/>
      <c r="D13" s="13"/>
      <c r="E13" s="13"/>
      <c r="F13" s="57"/>
      <c r="G13" s="57">
        <f t="shared" si="0"/>
        <v>0</v>
      </c>
      <c r="H13" s="58">
        <f>F13/3.669</f>
        <v>0</v>
      </c>
      <c r="I13" s="13">
        <f t="shared" si="1"/>
        <v>0</v>
      </c>
      <c r="J13" s="4"/>
      <c r="K13" s="12"/>
      <c r="L13" s="13"/>
      <c r="M13" s="62"/>
      <c r="N13" s="13"/>
      <c r="O13" s="13"/>
      <c r="P13" s="57"/>
      <c r="Q13" s="57">
        <f t="shared" si="2"/>
        <v>0</v>
      </c>
      <c r="R13" s="58">
        <f>P13/3.754</f>
        <v>0</v>
      </c>
      <c r="S13" s="13">
        <f>L13*N13</f>
        <v>0</v>
      </c>
      <c r="T13" s="5"/>
      <c r="U13" s="12"/>
      <c r="V13" s="13"/>
      <c r="W13" s="56"/>
      <c r="X13" s="13"/>
      <c r="Y13" s="13"/>
      <c r="Z13" s="57"/>
      <c r="AA13" s="57">
        <f t="shared" si="3"/>
        <v>0</v>
      </c>
      <c r="AB13" s="58">
        <f>Z13/3.393</f>
        <v>0</v>
      </c>
      <c r="AC13" s="13">
        <f t="shared" si="4"/>
        <v>0</v>
      </c>
      <c r="AD13" s="1"/>
      <c r="AE13" s="1"/>
      <c r="AF13" s="33"/>
      <c r="AG13" s="1"/>
      <c r="AH13" s="55"/>
      <c r="AI13" s="1"/>
      <c r="AJ13" s="33" t="s">
        <v>21</v>
      </c>
      <c r="AK13" s="34"/>
      <c r="AL13" s="55">
        <f>AL5/AH4</f>
        <v>4.0402286032896573</v>
      </c>
      <c r="AM13" s="2" t="s">
        <v>38</v>
      </c>
      <c r="AN13" s="34"/>
    </row>
    <row r="14" spans="1:40" ht="17.45" customHeight="1" x14ac:dyDescent="0.2">
      <c r="A14" s="65"/>
      <c r="B14" s="13"/>
      <c r="C14" s="56"/>
      <c r="D14" s="13"/>
      <c r="E14" s="13"/>
      <c r="F14" s="57"/>
      <c r="G14" s="57">
        <f t="shared" si="0"/>
        <v>0</v>
      </c>
      <c r="H14" s="58">
        <f>F14/3.742</f>
        <v>0</v>
      </c>
      <c r="I14" s="13">
        <f t="shared" si="1"/>
        <v>0</v>
      </c>
      <c r="J14" s="4"/>
      <c r="K14" s="12"/>
      <c r="L14" s="63"/>
      <c r="M14" s="56" t="s">
        <v>39</v>
      </c>
      <c r="N14" s="13"/>
      <c r="O14" s="13"/>
      <c r="P14" s="57"/>
      <c r="Q14" s="57">
        <f t="shared" si="2"/>
        <v>0</v>
      </c>
      <c r="R14" s="58">
        <f>P14/1.909</f>
        <v>0</v>
      </c>
      <c r="S14" s="13">
        <f>L14*N14</f>
        <v>0</v>
      </c>
      <c r="T14" s="5"/>
      <c r="U14" s="12"/>
      <c r="V14" s="63"/>
      <c r="W14" s="56"/>
      <c r="X14" s="13"/>
      <c r="Y14" s="13"/>
      <c r="Z14" s="57"/>
      <c r="AA14" s="57">
        <f t="shared" si="3"/>
        <v>0</v>
      </c>
      <c r="AB14" s="58">
        <f>Z14/2.394</f>
        <v>0</v>
      </c>
      <c r="AC14" s="13">
        <f t="shared" si="4"/>
        <v>0</v>
      </c>
      <c r="AD14" s="1"/>
      <c r="AE14" s="1"/>
      <c r="AF14" s="33"/>
      <c r="AG14" s="1"/>
      <c r="AH14" s="48"/>
      <c r="AI14" s="1"/>
      <c r="AJ14" s="33"/>
      <c r="AK14" s="34"/>
      <c r="AL14" s="48"/>
      <c r="AM14" s="1"/>
      <c r="AN14" s="34"/>
    </row>
    <row r="15" spans="1:40" ht="17.45" customHeight="1" x14ac:dyDescent="0.2">
      <c r="A15" s="12"/>
      <c r="B15" s="13"/>
      <c r="C15" s="56"/>
      <c r="D15" s="13"/>
      <c r="E15" s="13"/>
      <c r="F15" s="57"/>
      <c r="G15" s="57">
        <f t="shared" si="0"/>
        <v>0</v>
      </c>
      <c r="H15" s="58">
        <f>F15/3.826</f>
        <v>0</v>
      </c>
      <c r="I15" s="13">
        <f t="shared" si="1"/>
        <v>0</v>
      </c>
      <c r="J15" s="4"/>
      <c r="K15" s="12"/>
      <c r="L15" s="63"/>
      <c r="M15" s="56"/>
      <c r="N15" s="13"/>
      <c r="O15" s="13"/>
      <c r="P15" s="57"/>
      <c r="Q15" s="57">
        <f t="shared" si="2"/>
        <v>0</v>
      </c>
      <c r="R15" s="58">
        <f>P15/1.909</f>
        <v>0</v>
      </c>
      <c r="S15" s="13">
        <f>L15*N15</f>
        <v>0</v>
      </c>
      <c r="T15" s="5"/>
      <c r="U15" s="12"/>
      <c r="V15" s="13"/>
      <c r="W15" s="56"/>
      <c r="X15" s="13"/>
      <c r="Y15" s="13"/>
      <c r="Z15" s="57"/>
      <c r="AA15" s="57">
        <f t="shared" si="3"/>
        <v>0</v>
      </c>
      <c r="AB15" s="58"/>
      <c r="AC15" s="13"/>
      <c r="AD15" s="1"/>
      <c r="AE15" s="1"/>
      <c r="AF15" s="33"/>
      <c r="AG15" s="1"/>
      <c r="AH15" s="55"/>
      <c r="AI15" s="1"/>
      <c r="AJ15" s="33" t="s">
        <v>28</v>
      </c>
      <c r="AK15" s="34"/>
      <c r="AL15" s="66">
        <f>AL7/AH7</f>
        <v>4.2879118932325495</v>
      </c>
      <c r="AM15" s="2" t="s">
        <v>38</v>
      </c>
      <c r="AN15" s="34"/>
    </row>
    <row r="16" spans="1:40" ht="17.45" customHeight="1" x14ac:dyDescent="0.2">
      <c r="A16" s="65">
        <f>B4-(B5+B16)</f>
        <v>0</v>
      </c>
      <c r="B16" s="65">
        <f>SUM(B6:B15)</f>
        <v>39336</v>
      </c>
      <c r="C16" s="12"/>
      <c r="D16" s="12">
        <f>SUM(D5:D15)</f>
        <v>147</v>
      </c>
      <c r="E16" s="12"/>
      <c r="F16" s="15">
        <f>G16/B16</f>
        <v>2.8405145413870243</v>
      </c>
      <c r="G16" s="15">
        <f>SUM(G6:G15)</f>
        <v>111734.47999999998</v>
      </c>
      <c r="H16" s="12"/>
      <c r="I16" s="12"/>
      <c r="J16" s="4"/>
      <c r="K16" s="65">
        <f>L4-(L5+L16)</f>
        <v>0</v>
      </c>
      <c r="L16" s="65">
        <f>SUM(L6:L15)</f>
        <v>38984</v>
      </c>
      <c r="M16" s="12"/>
      <c r="N16" s="65">
        <f>SUM(N6:N11)</f>
        <v>152</v>
      </c>
      <c r="O16" s="12"/>
      <c r="P16" s="15">
        <f>Q16/L16</f>
        <v>2.9323702031602705</v>
      </c>
      <c r="Q16" s="15">
        <f>SUM(Q6:Q15)</f>
        <v>114315.51999999999</v>
      </c>
      <c r="R16" s="67"/>
      <c r="S16" s="12"/>
      <c r="T16" s="5"/>
      <c r="U16" s="65">
        <f>V4-(V5+V16)</f>
        <v>0</v>
      </c>
      <c r="V16" s="65">
        <f>SUM(V6:V14)</f>
        <v>37840</v>
      </c>
      <c r="W16" s="12"/>
      <c r="X16" s="12">
        <f>SUM(X6:X13)</f>
        <v>151</v>
      </c>
      <c r="Y16" s="12"/>
      <c r="Z16" s="15">
        <f>AA16/V16</f>
        <v>3.0320465116279069</v>
      </c>
      <c r="AA16" s="15">
        <f>SUM(AA6:AA15)</f>
        <v>114732.64</v>
      </c>
      <c r="AB16" s="12"/>
      <c r="AC16" s="12"/>
      <c r="AD16" s="1"/>
      <c r="AE16" s="1"/>
      <c r="AF16" s="68"/>
      <c r="AG16" s="69"/>
      <c r="AH16" s="70"/>
      <c r="AI16" s="69"/>
      <c r="AJ16" s="68"/>
      <c r="AK16" s="71"/>
      <c r="AL16" s="70"/>
      <c r="AM16" s="69"/>
      <c r="AN16" s="71"/>
    </row>
    <row r="17" spans="1:40" ht="17.45" customHeight="1" x14ac:dyDescent="0.2">
      <c r="A17" s="12"/>
      <c r="B17" s="12"/>
      <c r="C17" s="12"/>
      <c r="D17" s="12"/>
      <c r="E17" s="12"/>
      <c r="F17" s="15"/>
      <c r="G17" s="72" t="s">
        <v>40</v>
      </c>
      <c r="H17" s="12" t="s">
        <v>41</v>
      </c>
      <c r="I17" s="15">
        <f>SUM(I6:I16)/(B4-B5)</f>
        <v>39.275167785234899</v>
      </c>
      <c r="J17" s="4"/>
      <c r="K17" s="12"/>
      <c r="L17" s="12"/>
      <c r="M17" s="12"/>
      <c r="N17" s="12"/>
      <c r="O17" s="12"/>
      <c r="P17" s="15"/>
      <c r="Q17" s="72" t="s">
        <v>40</v>
      </c>
      <c r="R17" s="12" t="s">
        <v>41</v>
      </c>
      <c r="S17" s="15">
        <f>SUM(S6:S16)/(L4-L5)</f>
        <v>40.153498871331827</v>
      </c>
      <c r="T17" s="5"/>
      <c r="U17" s="68"/>
      <c r="V17" s="69"/>
      <c r="W17" s="69"/>
      <c r="X17" s="69"/>
      <c r="Y17" s="69"/>
      <c r="Z17" s="73"/>
      <c r="AA17" s="74" t="s">
        <v>40</v>
      </c>
      <c r="AB17" s="69" t="s">
        <v>41</v>
      </c>
      <c r="AC17" s="75">
        <f>SUM(AC6:AC15)/(V4-V5)</f>
        <v>40.093023255813954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17.4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4"/>
      <c r="K18" s="1"/>
      <c r="L18" s="1"/>
      <c r="M18" s="1"/>
      <c r="N18" s="1"/>
      <c r="O18" s="1"/>
      <c r="P18" s="1"/>
      <c r="Q18" s="1"/>
      <c r="R18" s="1"/>
      <c r="S18" s="1"/>
      <c r="T18" s="5"/>
      <c r="U18" s="5"/>
      <c r="V18" s="5"/>
      <c r="W18" s="5"/>
      <c r="X18" s="5"/>
      <c r="Y18" s="5"/>
      <c r="Z18" s="5"/>
      <c r="AA18" s="5"/>
      <c r="AB18" s="5"/>
      <c r="AC18" s="5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7.45" customHeight="1" x14ac:dyDescent="0.2">
      <c r="A19" s="6" t="s">
        <v>42</v>
      </c>
      <c r="B19" s="7" t="s">
        <v>5</v>
      </c>
      <c r="C19" s="7" t="s">
        <v>6</v>
      </c>
      <c r="D19" s="7" t="s">
        <v>7</v>
      </c>
      <c r="E19" s="7" t="s">
        <v>8</v>
      </c>
      <c r="F19" s="8" t="s">
        <v>9</v>
      </c>
      <c r="G19" s="8" t="s">
        <v>10</v>
      </c>
      <c r="H19" s="7" t="s">
        <v>11</v>
      </c>
      <c r="I19" s="9" t="s">
        <v>12</v>
      </c>
      <c r="J19" s="11"/>
      <c r="K19" s="6" t="s">
        <v>43</v>
      </c>
      <c r="L19" s="7">
        <v>41700</v>
      </c>
      <c r="M19" s="7" t="s">
        <v>6</v>
      </c>
      <c r="N19" s="7" t="s">
        <v>7</v>
      </c>
      <c r="O19" s="7" t="s">
        <v>8</v>
      </c>
      <c r="P19" s="8" t="s">
        <v>9</v>
      </c>
      <c r="Q19" s="8" t="s">
        <v>10</v>
      </c>
      <c r="R19" s="7" t="s">
        <v>11</v>
      </c>
      <c r="S19" s="9" t="s">
        <v>12</v>
      </c>
      <c r="T19" s="10"/>
      <c r="U19" s="6" t="s">
        <v>44</v>
      </c>
      <c r="V19" s="7" t="s">
        <v>5</v>
      </c>
      <c r="W19" s="7" t="s">
        <v>6</v>
      </c>
      <c r="X19" s="7" t="s">
        <v>7</v>
      </c>
      <c r="Y19" s="7" t="s">
        <v>8</v>
      </c>
      <c r="Z19" s="8" t="s">
        <v>9</v>
      </c>
      <c r="AA19" s="8" t="s">
        <v>10</v>
      </c>
      <c r="AB19" s="7" t="s">
        <v>11</v>
      </c>
      <c r="AC19" s="9" t="s">
        <v>12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7.45" customHeight="1" x14ac:dyDescent="0.2">
      <c r="A20" s="76" t="s">
        <v>15</v>
      </c>
      <c r="B20" s="76">
        <v>41700</v>
      </c>
      <c r="C20" s="76"/>
      <c r="D20" s="76"/>
      <c r="E20" s="76"/>
      <c r="F20" s="77"/>
      <c r="G20" s="77"/>
      <c r="H20" s="76"/>
      <c r="I20" s="76"/>
      <c r="J20" s="1"/>
      <c r="K20" s="12" t="s">
        <v>15</v>
      </c>
      <c r="L20" s="26">
        <v>41500</v>
      </c>
      <c r="M20" s="26"/>
      <c r="N20" s="26"/>
      <c r="O20" s="26"/>
      <c r="P20" s="25"/>
      <c r="Q20" s="25"/>
      <c r="R20" s="26"/>
      <c r="S20" s="26"/>
      <c r="T20" s="4"/>
      <c r="U20" s="12" t="s">
        <v>15</v>
      </c>
      <c r="V20" s="12">
        <v>41700</v>
      </c>
      <c r="W20" s="12"/>
      <c r="X20" s="12"/>
      <c r="Y20" s="12"/>
      <c r="Z20" s="15"/>
      <c r="AA20" s="15"/>
      <c r="AB20" s="12"/>
      <c r="AC20" s="12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17.45" customHeight="1" x14ac:dyDescent="0.2">
      <c r="A21" s="76" t="s">
        <v>19</v>
      </c>
      <c r="B21" s="78">
        <v>2628</v>
      </c>
      <c r="C21" s="79">
        <f>B21/B20</f>
        <v>6.3021582733812948E-2</v>
      </c>
      <c r="D21" s="76"/>
      <c r="E21" s="76"/>
      <c r="F21" s="80"/>
      <c r="G21" s="77"/>
      <c r="H21" s="76"/>
      <c r="I21" s="76"/>
      <c r="J21" s="1"/>
      <c r="K21" s="12" t="s">
        <v>19</v>
      </c>
      <c r="L21" s="21">
        <v>1068</v>
      </c>
      <c r="M21" s="81">
        <f>L21/L20</f>
        <v>2.5734939759036145E-2</v>
      </c>
      <c r="N21" s="23"/>
      <c r="O21" s="23"/>
      <c r="P21" s="24"/>
      <c r="Q21" s="53"/>
      <c r="R21" s="23"/>
      <c r="S21" s="23"/>
      <c r="T21" s="4"/>
      <c r="U21" s="12" t="s">
        <v>19</v>
      </c>
      <c r="V21" s="65">
        <v>164</v>
      </c>
      <c r="W21" s="30">
        <f>V21/V20</f>
        <v>3.9328537170263793E-3</v>
      </c>
      <c r="X21" s="12"/>
      <c r="Y21" s="12"/>
      <c r="Z21" s="29"/>
      <c r="AA21" s="15"/>
      <c r="AB21" s="12"/>
      <c r="AC21" s="12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7.45" customHeight="1" x14ac:dyDescent="0.2">
      <c r="A22" s="76"/>
      <c r="B22" s="175">
        <v>6688</v>
      </c>
      <c r="C22" s="176">
        <v>46071</v>
      </c>
      <c r="D22" s="175">
        <v>33</v>
      </c>
      <c r="E22" s="176" t="s">
        <v>23</v>
      </c>
      <c r="F22" s="177">
        <v>2.14</v>
      </c>
      <c r="G22" s="177">
        <f t="shared" ref="G22:G31" si="5">B22*F22</f>
        <v>14312.320000000002</v>
      </c>
      <c r="H22" s="178">
        <f>F22/2.097</f>
        <v>1.0205054840247973</v>
      </c>
      <c r="I22" s="175">
        <f t="shared" ref="I22:I31" si="6">B22*D22</f>
        <v>220704</v>
      </c>
      <c r="J22" s="1"/>
      <c r="K22" s="12"/>
      <c r="L22" s="150">
        <v>5168</v>
      </c>
      <c r="M22" s="151">
        <v>46071</v>
      </c>
      <c r="N22" s="150">
        <v>33</v>
      </c>
      <c r="O22" s="151" t="s">
        <v>23</v>
      </c>
      <c r="P22" s="152">
        <v>1.98</v>
      </c>
      <c r="Q22" s="152">
        <f t="shared" ref="Q22:Q31" si="7">L22*P22</f>
        <v>10232.64</v>
      </c>
      <c r="R22" s="153">
        <f>P22/1.999</f>
        <v>0.9904952476238118</v>
      </c>
      <c r="S22" s="150">
        <f t="shared" ref="S22:S31" si="8">L22*N22</f>
        <v>170544</v>
      </c>
      <c r="T22" s="4"/>
      <c r="U22" s="26"/>
      <c r="V22" s="150">
        <v>7216</v>
      </c>
      <c r="W22" s="151">
        <v>46070</v>
      </c>
      <c r="X22" s="150">
        <v>31</v>
      </c>
      <c r="Y22" s="150" t="s">
        <v>30</v>
      </c>
      <c r="Z22" s="152">
        <v>1.89</v>
      </c>
      <c r="AA22" s="152">
        <f t="shared" ref="AA22:AA30" si="9">V22*Z22</f>
        <v>13638.24</v>
      </c>
      <c r="AB22" s="153">
        <f>Z22/1.901</f>
        <v>0.99421357180431347</v>
      </c>
      <c r="AC22" s="150">
        <f t="shared" ref="AC22:AC30" si="10">V22*X22</f>
        <v>223696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ht="17.45" customHeight="1" x14ac:dyDescent="0.2">
      <c r="A23" s="76"/>
      <c r="B23" s="175">
        <v>6160</v>
      </c>
      <c r="C23" s="176">
        <v>46074</v>
      </c>
      <c r="D23" s="175">
        <v>35</v>
      </c>
      <c r="E23" s="175" t="s">
        <v>30</v>
      </c>
      <c r="F23" s="177">
        <v>2.2400000000000002</v>
      </c>
      <c r="G23" s="177">
        <f t="shared" si="5"/>
        <v>13798.400000000001</v>
      </c>
      <c r="H23" s="178">
        <f>F23/2.296</f>
        <v>0.97560975609756118</v>
      </c>
      <c r="I23" s="175">
        <f t="shared" si="6"/>
        <v>215600</v>
      </c>
      <c r="J23" s="1"/>
      <c r="K23" s="12"/>
      <c r="L23" s="150">
        <v>6160</v>
      </c>
      <c r="M23" s="151">
        <v>46074</v>
      </c>
      <c r="N23" s="150">
        <v>35</v>
      </c>
      <c r="O23" s="150" t="s">
        <v>30</v>
      </c>
      <c r="P23" s="152">
        <v>2.2400000000000002</v>
      </c>
      <c r="Q23" s="152">
        <f t="shared" si="7"/>
        <v>13798.400000000001</v>
      </c>
      <c r="R23" s="153">
        <f>P23/2.296</f>
        <v>0.97560975609756118</v>
      </c>
      <c r="S23" s="150">
        <f t="shared" si="8"/>
        <v>215600</v>
      </c>
      <c r="T23" s="4"/>
      <c r="U23" s="12"/>
      <c r="V23" s="150">
        <v>13440</v>
      </c>
      <c r="W23" s="151">
        <v>46078</v>
      </c>
      <c r="X23" s="150">
        <v>40</v>
      </c>
      <c r="Y23" s="150" t="s">
        <v>30</v>
      </c>
      <c r="Z23" s="152">
        <v>2.85</v>
      </c>
      <c r="AA23" s="152">
        <f t="shared" si="9"/>
        <v>38304</v>
      </c>
      <c r="AB23" s="153">
        <f>Z23/2.798</f>
        <v>1.0185847033595425</v>
      </c>
      <c r="AC23" s="150">
        <f t="shared" si="10"/>
        <v>537600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ht="17.45" customHeight="1" x14ac:dyDescent="0.2">
      <c r="A24" s="76"/>
      <c r="B24" s="175">
        <v>4576</v>
      </c>
      <c r="C24" s="176">
        <v>46079</v>
      </c>
      <c r="D24" s="175">
        <v>40</v>
      </c>
      <c r="E24" s="175" t="s">
        <v>30</v>
      </c>
      <c r="F24" s="177">
        <v>2.83</v>
      </c>
      <c r="G24" s="177">
        <f t="shared" si="5"/>
        <v>12950.08</v>
      </c>
      <c r="H24" s="178">
        <f>F24/2.798</f>
        <v>1.0114367405289493</v>
      </c>
      <c r="I24" s="175">
        <f t="shared" si="6"/>
        <v>183040</v>
      </c>
      <c r="J24" s="1"/>
      <c r="K24" s="12"/>
      <c r="L24" s="150">
        <v>13440</v>
      </c>
      <c r="M24" s="151">
        <v>46077</v>
      </c>
      <c r="N24" s="150">
        <v>39</v>
      </c>
      <c r="O24" s="150" t="s">
        <v>30</v>
      </c>
      <c r="P24" s="152">
        <v>2.58</v>
      </c>
      <c r="Q24" s="152">
        <f t="shared" si="7"/>
        <v>34675.200000000004</v>
      </c>
      <c r="R24" s="153">
        <f>P24/2.697</f>
        <v>0.95661846496106784</v>
      </c>
      <c r="S24" s="150">
        <f t="shared" si="8"/>
        <v>524160</v>
      </c>
      <c r="T24" s="4"/>
      <c r="U24" s="12"/>
      <c r="V24" s="150">
        <v>5456</v>
      </c>
      <c r="W24" s="151">
        <v>46076</v>
      </c>
      <c r="X24" s="150">
        <v>38</v>
      </c>
      <c r="Y24" s="150" t="s">
        <v>30</v>
      </c>
      <c r="Z24" s="152">
        <v>2.4300000000000002</v>
      </c>
      <c r="AA24" s="152">
        <f t="shared" si="9"/>
        <v>13258.080000000002</v>
      </c>
      <c r="AB24" s="153">
        <f>Z24/2.597</f>
        <v>0.93569503273007326</v>
      </c>
      <c r="AC24" s="150">
        <f t="shared" si="10"/>
        <v>207328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ht="17.45" customHeight="1" x14ac:dyDescent="0.2">
      <c r="A25" s="76"/>
      <c r="B25" s="175">
        <v>21648</v>
      </c>
      <c r="C25" s="176">
        <v>46083</v>
      </c>
      <c r="D25" s="175">
        <v>45</v>
      </c>
      <c r="E25" s="175" t="s">
        <v>30</v>
      </c>
      <c r="F25" s="177">
        <v>3.33</v>
      </c>
      <c r="G25" s="177">
        <f t="shared" si="5"/>
        <v>72087.839999999997</v>
      </c>
      <c r="H25" s="178">
        <f>F25/3.295</f>
        <v>1.0106221547799696</v>
      </c>
      <c r="I25" s="175">
        <f t="shared" si="6"/>
        <v>974160</v>
      </c>
      <c r="J25" s="1"/>
      <c r="K25" s="12"/>
      <c r="L25" s="150">
        <v>15664</v>
      </c>
      <c r="M25" s="151">
        <v>46084</v>
      </c>
      <c r="N25" s="150">
        <v>46</v>
      </c>
      <c r="O25" s="150" t="s">
        <v>30</v>
      </c>
      <c r="P25" s="152">
        <v>3.35</v>
      </c>
      <c r="Q25" s="152">
        <f t="shared" si="7"/>
        <v>52474.400000000001</v>
      </c>
      <c r="R25" s="153">
        <f>P25/2.998</f>
        <v>1.1174116077384924</v>
      </c>
      <c r="S25" s="150">
        <f t="shared" si="8"/>
        <v>720544</v>
      </c>
      <c r="T25" s="4"/>
      <c r="U25" s="12"/>
      <c r="V25" s="150">
        <v>4752</v>
      </c>
      <c r="W25" s="151">
        <v>46081</v>
      </c>
      <c r="X25" s="150">
        <v>42</v>
      </c>
      <c r="Y25" s="150" t="s">
        <v>30</v>
      </c>
      <c r="Z25" s="152">
        <v>3.03</v>
      </c>
      <c r="AA25" s="152">
        <f t="shared" si="9"/>
        <v>14398.56</v>
      </c>
      <c r="AB25" s="153">
        <f>Z25/2.998</f>
        <v>1.0106737825216809</v>
      </c>
      <c r="AC25" s="150">
        <f t="shared" si="10"/>
        <v>199584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17.45" customHeight="1" x14ac:dyDescent="0.2">
      <c r="A26" s="76"/>
      <c r="B26" s="82"/>
      <c r="C26" s="83"/>
      <c r="D26" s="82"/>
      <c r="E26" s="82"/>
      <c r="F26" s="84"/>
      <c r="G26" s="84">
        <f t="shared" si="5"/>
        <v>0</v>
      </c>
      <c r="H26" s="85">
        <f>F26/3.524</f>
        <v>0</v>
      </c>
      <c r="I26" s="82">
        <f t="shared" si="6"/>
        <v>0</v>
      </c>
      <c r="J26" s="1"/>
      <c r="K26" s="12"/>
      <c r="L26" s="162"/>
      <c r="M26" s="163"/>
      <c r="N26" s="162"/>
      <c r="O26" s="162"/>
      <c r="P26" s="164"/>
      <c r="Q26" s="164">
        <f t="shared" si="7"/>
        <v>0</v>
      </c>
      <c r="R26" s="165">
        <f>P26/3.295</f>
        <v>0</v>
      </c>
      <c r="S26" s="162">
        <f t="shared" si="8"/>
        <v>0</v>
      </c>
      <c r="T26" s="4"/>
      <c r="U26" s="12"/>
      <c r="V26" s="150">
        <v>10672</v>
      </c>
      <c r="W26" s="151">
        <v>46085</v>
      </c>
      <c r="X26" s="150">
        <v>45</v>
      </c>
      <c r="Y26" s="150" t="s">
        <v>30</v>
      </c>
      <c r="Z26" s="177">
        <v>3.4</v>
      </c>
      <c r="AA26" s="152">
        <f t="shared" si="9"/>
        <v>36284.799999999996</v>
      </c>
      <c r="AB26" s="153">
        <f>Z26/3.295</f>
        <v>1.0318664643399089</v>
      </c>
      <c r="AC26" s="150">
        <f t="shared" si="10"/>
        <v>480240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ht="17.45" customHeight="1" x14ac:dyDescent="0.2">
      <c r="A27" s="76"/>
      <c r="B27" s="86"/>
      <c r="C27" s="87"/>
      <c r="D27" s="86"/>
      <c r="E27" s="86"/>
      <c r="F27" s="88"/>
      <c r="G27" s="88">
        <f t="shared" si="5"/>
        <v>0</v>
      </c>
      <c r="H27" s="89">
        <f>F27/3.754</f>
        <v>0</v>
      </c>
      <c r="I27" s="86">
        <f t="shared" si="6"/>
        <v>0</v>
      </c>
      <c r="J27" s="1"/>
      <c r="K27" s="12"/>
      <c r="L27" s="13"/>
      <c r="M27" s="56"/>
      <c r="N27" s="13"/>
      <c r="O27" s="13"/>
      <c r="P27" s="57"/>
      <c r="Q27" s="57">
        <f t="shared" si="7"/>
        <v>0</v>
      </c>
      <c r="R27" s="58">
        <f>P27/3.743</f>
        <v>0</v>
      </c>
      <c r="S27" s="13">
        <f t="shared" si="8"/>
        <v>0</v>
      </c>
      <c r="T27" s="4"/>
      <c r="U27" s="12"/>
      <c r="V27" s="23"/>
      <c r="W27" s="52"/>
      <c r="X27" s="23"/>
      <c r="Y27" s="23"/>
      <c r="Z27" s="53"/>
      <c r="AA27" s="53">
        <f t="shared" si="9"/>
        <v>0</v>
      </c>
      <c r="AB27" s="24">
        <f>Z27/3.754</f>
        <v>0</v>
      </c>
      <c r="AC27" s="23">
        <f t="shared" si="10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ht="17.45" customHeight="1" x14ac:dyDescent="0.2">
      <c r="A28" s="76"/>
      <c r="B28" s="90"/>
      <c r="C28" s="91"/>
      <c r="D28" s="90"/>
      <c r="E28" s="90"/>
      <c r="F28" s="92"/>
      <c r="G28" s="92">
        <f t="shared" si="5"/>
        <v>0</v>
      </c>
      <c r="H28" s="93">
        <f>F28/2.622</f>
        <v>0</v>
      </c>
      <c r="I28" s="90">
        <f t="shared" si="6"/>
        <v>0</v>
      </c>
      <c r="J28" s="1"/>
      <c r="K28" s="12"/>
      <c r="L28" s="63"/>
      <c r="M28" s="62"/>
      <c r="N28" s="13"/>
      <c r="O28" s="13"/>
      <c r="P28" s="57"/>
      <c r="Q28" s="57">
        <f t="shared" si="7"/>
        <v>0</v>
      </c>
      <c r="R28" s="58">
        <f>P28/4.064</f>
        <v>0</v>
      </c>
      <c r="S28" s="13">
        <f t="shared" si="8"/>
        <v>0</v>
      </c>
      <c r="T28" s="4"/>
      <c r="U28" s="12"/>
      <c r="V28" s="13"/>
      <c r="W28" s="56"/>
      <c r="X28" s="13"/>
      <c r="Y28" s="13"/>
      <c r="Z28" s="57"/>
      <c r="AA28" s="57">
        <f t="shared" si="9"/>
        <v>0</v>
      </c>
      <c r="AB28" s="58">
        <f>Z28/3.933</f>
        <v>0</v>
      </c>
      <c r="AC28" s="13">
        <f t="shared" si="10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ht="17.45" customHeight="1" x14ac:dyDescent="0.2">
      <c r="A29" s="76"/>
      <c r="B29" s="90"/>
      <c r="C29" s="91"/>
      <c r="D29" s="90"/>
      <c r="E29" s="90"/>
      <c r="F29" s="92"/>
      <c r="G29" s="92">
        <f t="shared" si="5"/>
        <v>0</v>
      </c>
      <c r="H29" s="93">
        <f>F29/3.669</f>
        <v>0</v>
      </c>
      <c r="I29" s="90">
        <f t="shared" si="6"/>
        <v>0</v>
      </c>
      <c r="J29" s="1"/>
      <c r="K29" s="12"/>
      <c r="L29" s="13"/>
      <c r="M29" s="56"/>
      <c r="N29" s="13"/>
      <c r="O29" s="13"/>
      <c r="P29" s="57"/>
      <c r="Q29" s="57">
        <f t="shared" si="7"/>
        <v>0</v>
      </c>
      <c r="R29" s="58">
        <f>P29/3.659</f>
        <v>0</v>
      </c>
      <c r="S29" s="13">
        <f t="shared" si="8"/>
        <v>0</v>
      </c>
      <c r="T29" s="4"/>
      <c r="U29" s="12"/>
      <c r="V29" s="13"/>
      <c r="W29" s="62" t="s">
        <v>45</v>
      </c>
      <c r="X29" s="13"/>
      <c r="Y29" s="13"/>
      <c r="Z29" s="57"/>
      <c r="AA29" s="57">
        <f t="shared" si="9"/>
        <v>0</v>
      </c>
      <c r="AB29" s="58">
        <f>Z29/2.3</f>
        <v>0</v>
      </c>
      <c r="AC29" s="13">
        <f t="shared" si="10"/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ht="17.45" customHeight="1" x14ac:dyDescent="0.2">
      <c r="A30" s="76"/>
      <c r="B30" s="94"/>
      <c r="C30" s="91"/>
      <c r="D30" s="90"/>
      <c r="E30" s="90"/>
      <c r="F30" s="92"/>
      <c r="G30" s="92">
        <f t="shared" si="5"/>
        <v>0</v>
      </c>
      <c r="H30" s="93">
        <f>F30/2.394</f>
        <v>0</v>
      </c>
      <c r="I30" s="90">
        <f t="shared" si="6"/>
        <v>0</v>
      </c>
      <c r="J30" s="1"/>
      <c r="K30" s="12"/>
      <c r="L30" s="13"/>
      <c r="M30" s="56"/>
      <c r="N30" s="13"/>
      <c r="O30" s="13"/>
      <c r="P30" s="57"/>
      <c r="Q30" s="57">
        <f t="shared" si="7"/>
        <v>0</v>
      </c>
      <c r="R30" s="58">
        <f>P30/2.3</f>
        <v>0</v>
      </c>
      <c r="S30" s="13">
        <f t="shared" si="8"/>
        <v>0</v>
      </c>
      <c r="T30" s="4"/>
      <c r="U30" s="12"/>
      <c r="V30" s="13"/>
      <c r="W30" s="56"/>
      <c r="X30" s="13"/>
      <c r="Y30" s="13"/>
      <c r="Z30" s="57"/>
      <c r="AA30" s="57">
        <f t="shared" si="9"/>
        <v>0</v>
      </c>
      <c r="AB30" s="58">
        <f>Z30/3.743</f>
        <v>0</v>
      </c>
      <c r="AC30" s="13">
        <f t="shared" si="10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ht="17.45" customHeight="1" x14ac:dyDescent="0.2">
      <c r="A31" s="76"/>
      <c r="B31" s="90"/>
      <c r="C31" s="91"/>
      <c r="D31" s="90"/>
      <c r="E31" s="90"/>
      <c r="F31" s="92"/>
      <c r="G31" s="92">
        <f t="shared" si="5"/>
        <v>0</v>
      </c>
      <c r="H31" s="93">
        <f>F31/3.743</f>
        <v>0</v>
      </c>
      <c r="I31" s="90">
        <f t="shared" si="6"/>
        <v>0</v>
      </c>
      <c r="J31" s="1"/>
      <c r="K31" s="12"/>
      <c r="L31" s="13"/>
      <c r="M31" s="56"/>
      <c r="N31" s="13"/>
      <c r="O31" s="13"/>
      <c r="P31" s="57"/>
      <c r="Q31" s="57">
        <f t="shared" si="7"/>
        <v>0</v>
      </c>
      <c r="R31" s="58">
        <f>P31/3.743</f>
        <v>0</v>
      </c>
      <c r="S31" s="13">
        <f t="shared" si="8"/>
        <v>0</v>
      </c>
      <c r="T31" s="4"/>
      <c r="U31" s="12"/>
      <c r="V31" s="12"/>
      <c r="W31" s="95"/>
      <c r="X31" s="12"/>
      <c r="Y31" s="13"/>
      <c r="Z31" s="15"/>
      <c r="AA31" s="15"/>
      <c r="AB31" s="67"/>
      <c r="AC31" s="12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ht="17.45" customHeight="1" x14ac:dyDescent="0.2">
      <c r="A32" s="78">
        <f>B20-(B21+B32)</f>
        <v>0</v>
      </c>
      <c r="B32" s="78">
        <f>SUM(B22:B30)</f>
        <v>39072</v>
      </c>
      <c r="C32" s="76"/>
      <c r="D32" s="76">
        <f>SUM(D21:D28)</f>
        <v>153</v>
      </c>
      <c r="E32" s="76"/>
      <c r="F32" s="77">
        <f>G32/B32</f>
        <v>2.8959009009009007</v>
      </c>
      <c r="G32" s="77">
        <f>SUM(G22:G31)</f>
        <v>113148.64</v>
      </c>
      <c r="H32" s="76"/>
      <c r="I32" s="76"/>
      <c r="J32" s="1"/>
      <c r="K32" s="65">
        <f>L20-(L21+L32)</f>
        <v>0</v>
      </c>
      <c r="L32" s="65">
        <f>SUM(L22:L29)</f>
        <v>40432</v>
      </c>
      <c r="M32" s="12"/>
      <c r="N32" s="12">
        <f>SUM(N21:N30)</f>
        <v>153</v>
      </c>
      <c r="O32" s="12"/>
      <c r="P32" s="15">
        <f>Q32/L32</f>
        <v>2.749817965967551</v>
      </c>
      <c r="Q32" s="15">
        <f>SUM(Q22:Q31)</f>
        <v>111180.64000000001</v>
      </c>
      <c r="R32" s="12"/>
      <c r="S32" s="12"/>
      <c r="T32" s="4"/>
      <c r="U32" s="65">
        <f>V20-(V21+V32)</f>
        <v>0</v>
      </c>
      <c r="V32" s="65">
        <f>SUM(V22:V31)</f>
        <v>41536</v>
      </c>
      <c r="W32" s="12"/>
      <c r="X32" s="12">
        <f>SUM(X22:X29)</f>
        <v>196</v>
      </c>
      <c r="Y32" s="12"/>
      <c r="Z32" s="15">
        <f>AA32/V32</f>
        <v>2.7899576271186439</v>
      </c>
      <c r="AA32" s="15">
        <f>SUM(AA22:AA31)</f>
        <v>115883.68</v>
      </c>
      <c r="AB32" s="12"/>
      <c r="AC32" s="12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ht="17.45" customHeight="1" x14ac:dyDescent="0.2">
      <c r="A33" s="96"/>
      <c r="B33" s="97"/>
      <c r="C33" s="97"/>
      <c r="D33" s="97"/>
      <c r="E33" s="97"/>
      <c r="F33" s="98"/>
      <c r="G33" s="99" t="s">
        <v>40</v>
      </c>
      <c r="H33" s="97" t="s">
        <v>41</v>
      </c>
      <c r="I33" s="100">
        <f>SUM(I22:I31)/(B20-B21)</f>
        <v>40.783783783783782</v>
      </c>
      <c r="J33" s="1"/>
      <c r="K33" s="12"/>
      <c r="L33" s="12"/>
      <c r="M33" s="12"/>
      <c r="N33" s="12"/>
      <c r="O33" s="12"/>
      <c r="P33" s="15"/>
      <c r="Q33" s="72" t="s">
        <v>40</v>
      </c>
      <c r="R33" s="12" t="s">
        <v>41</v>
      </c>
      <c r="S33" s="15">
        <f>SUM(S22:S31)/(L20-L21)</f>
        <v>40.335575781559164</v>
      </c>
      <c r="T33" s="4"/>
      <c r="U33" s="12"/>
      <c r="V33" s="12"/>
      <c r="W33" s="12"/>
      <c r="X33" s="12"/>
      <c r="Y33" s="12"/>
      <c r="Z33" s="15"/>
      <c r="AA33" s="72" t="s">
        <v>40</v>
      </c>
      <c r="AB33" s="12" t="s">
        <v>41</v>
      </c>
      <c r="AC33" s="15">
        <f>SUM(AC22:AC31)/(V20-V21)</f>
        <v>39.687211093990754</v>
      </c>
      <c r="AD33" s="1"/>
      <c r="AE33" s="1"/>
      <c r="AF33" s="1"/>
      <c r="AG33" s="1"/>
      <c r="AH33" s="1"/>
      <c r="AI33" s="1"/>
      <c r="AJ33" s="1"/>
      <c r="AK33" s="1"/>
      <c r="AL33" s="1" t="s">
        <v>45</v>
      </c>
      <c r="AM33" s="1"/>
      <c r="AN33" s="1"/>
    </row>
    <row r="34" spans="1:40" ht="17.4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ht="17.45" customHeight="1" x14ac:dyDescent="0.2">
      <c r="A35" s="6" t="s">
        <v>46</v>
      </c>
      <c r="B35" s="7" t="s">
        <v>5</v>
      </c>
      <c r="C35" s="7" t="s">
        <v>6</v>
      </c>
      <c r="D35" s="7" t="s">
        <v>7</v>
      </c>
      <c r="E35" s="7" t="s">
        <v>8</v>
      </c>
      <c r="F35" s="8" t="s">
        <v>9</v>
      </c>
      <c r="G35" s="8" t="s">
        <v>10</v>
      </c>
      <c r="H35" s="7" t="s">
        <v>11</v>
      </c>
      <c r="I35" s="9" t="s">
        <v>12</v>
      </c>
      <c r="J35" s="11"/>
      <c r="K35" s="6" t="s">
        <v>47</v>
      </c>
      <c r="L35" s="7" t="s">
        <v>5</v>
      </c>
      <c r="M35" s="7" t="s">
        <v>6</v>
      </c>
      <c r="N35" s="7" t="s">
        <v>7</v>
      </c>
      <c r="O35" s="7" t="s">
        <v>8</v>
      </c>
      <c r="P35" s="8" t="s">
        <v>9</v>
      </c>
      <c r="Q35" s="8" t="s">
        <v>10</v>
      </c>
      <c r="R35" s="7" t="s">
        <v>11</v>
      </c>
      <c r="S35" s="9" t="s">
        <v>12</v>
      </c>
      <c r="T35" s="1"/>
      <c r="U35" s="6" t="s">
        <v>48</v>
      </c>
      <c r="V35" s="7" t="s">
        <v>5</v>
      </c>
      <c r="W35" s="7" t="s">
        <v>6</v>
      </c>
      <c r="X35" s="7" t="s">
        <v>7</v>
      </c>
      <c r="Y35" s="7" t="s">
        <v>8</v>
      </c>
      <c r="Z35" s="8" t="s">
        <v>9</v>
      </c>
      <c r="AA35" s="8" t="s">
        <v>10</v>
      </c>
      <c r="AB35" s="7" t="s">
        <v>11</v>
      </c>
      <c r="AC35" s="9" t="s">
        <v>12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ht="17.45" customHeight="1" x14ac:dyDescent="0.2">
      <c r="A36" s="12" t="s">
        <v>15</v>
      </c>
      <c r="B36" s="12">
        <v>42800</v>
      </c>
      <c r="C36" s="12"/>
      <c r="D36" s="12"/>
      <c r="E36" s="12"/>
      <c r="F36" s="15"/>
      <c r="G36" s="15"/>
      <c r="H36" s="12"/>
      <c r="I36" s="12"/>
      <c r="J36" s="5"/>
      <c r="K36" s="12" t="s">
        <v>15</v>
      </c>
      <c r="L36" s="12">
        <v>41400</v>
      </c>
      <c r="M36" s="12"/>
      <c r="N36" s="12"/>
      <c r="O36" s="12"/>
      <c r="P36" s="15"/>
      <c r="Q36" s="15"/>
      <c r="R36" s="12"/>
      <c r="S36" s="12"/>
      <c r="T36" s="1"/>
      <c r="U36" s="12" t="s">
        <v>15</v>
      </c>
      <c r="V36" s="12">
        <v>41800</v>
      </c>
      <c r="W36" s="12"/>
      <c r="X36" s="12"/>
      <c r="Y36" s="12"/>
      <c r="Z36" s="15"/>
      <c r="AA36" s="15"/>
      <c r="AB36" s="12"/>
      <c r="AC36" s="1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ht="17.45" customHeight="1" x14ac:dyDescent="0.2">
      <c r="A37" s="12" t="s">
        <v>19</v>
      </c>
      <c r="B37" s="21">
        <v>1552</v>
      </c>
      <c r="C37" s="81">
        <f>B37/B36</f>
        <v>3.6261682242990652E-2</v>
      </c>
      <c r="D37" s="23"/>
      <c r="E37" s="23"/>
      <c r="F37" s="24"/>
      <c r="G37" s="53"/>
      <c r="H37" s="23"/>
      <c r="I37" s="23"/>
      <c r="J37" s="5"/>
      <c r="K37" s="12" t="s">
        <v>19</v>
      </c>
      <c r="L37" s="65">
        <v>3320</v>
      </c>
      <c r="M37" s="30">
        <f>L37/L36</f>
        <v>8.0193236714975843E-2</v>
      </c>
      <c r="N37" s="12"/>
      <c r="O37" s="12"/>
      <c r="P37" s="29"/>
      <c r="Q37" s="15"/>
      <c r="R37" s="12"/>
      <c r="S37" s="12"/>
      <c r="T37" s="1"/>
      <c r="U37" s="12" t="s">
        <v>19</v>
      </c>
      <c r="V37" s="65">
        <v>1912</v>
      </c>
      <c r="W37" s="30">
        <f>V37/V36</f>
        <v>4.5741626794258375E-2</v>
      </c>
      <c r="X37" s="12"/>
      <c r="Y37" s="12"/>
      <c r="Z37" s="29"/>
      <c r="AA37" s="15"/>
      <c r="AB37" s="12"/>
      <c r="AC37" s="12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ht="17.45" customHeight="1" x14ac:dyDescent="0.2">
      <c r="A38" s="12"/>
      <c r="B38" s="150">
        <v>7216</v>
      </c>
      <c r="C38" s="151">
        <v>46070</v>
      </c>
      <c r="D38" s="150">
        <v>30</v>
      </c>
      <c r="E38" s="151" t="s">
        <v>23</v>
      </c>
      <c r="F38" s="152">
        <v>1.84</v>
      </c>
      <c r="G38" s="152">
        <f t="shared" ref="G38:G46" si="11">B38*F38</f>
        <v>13277.44</v>
      </c>
      <c r="H38" s="153">
        <f>F38/1.805</f>
        <v>1.0193905817174516</v>
      </c>
      <c r="I38" s="150">
        <f t="shared" ref="I38:I46" si="12">B38*D38</f>
        <v>216480</v>
      </c>
      <c r="J38" s="5"/>
      <c r="K38" s="12"/>
      <c r="L38" s="150">
        <v>6864</v>
      </c>
      <c r="M38" s="151">
        <v>46072</v>
      </c>
      <c r="N38" s="150">
        <v>32</v>
      </c>
      <c r="O38" s="151" t="s">
        <v>30</v>
      </c>
      <c r="P38" s="152">
        <v>2.0099999999999998</v>
      </c>
      <c r="Q38" s="152">
        <f t="shared" ref="Q38:Q46" si="13">L38*P38</f>
        <v>13796.64</v>
      </c>
      <c r="R38" s="153">
        <f>P38/1.999</f>
        <v>1.0055027513756878</v>
      </c>
      <c r="S38" s="150">
        <f t="shared" ref="S38:S46" si="14">L38*N38</f>
        <v>219648</v>
      </c>
      <c r="T38" s="1"/>
      <c r="U38" s="144"/>
      <c r="V38" s="150">
        <v>5656</v>
      </c>
      <c r="W38" s="151">
        <v>46070</v>
      </c>
      <c r="X38" s="150">
        <v>30</v>
      </c>
      <c r="Y38" s="150" t="s">
        <v>30</v>
      </c>
      <c r="Z38" s="152">
        <v>1.92</v>
      </c>
      <c r="AA38" s="152">
        <f t="shared" ref="AA38:AA46" si="15">V38*Z38</f>
        <v>10859.52</v>
      </c>
      <c r="AB38" s="153">
        <f>Z38/1.805</f>
        <v>1.0637119113573408</v>
      </c>
      <c r="AC38" s="150">
        <f t="shared" ref="AC38:AC46" si="16">V38*X38</f>
        <v>169680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ht="17.45" customHeight="1" x14ac:dyDescent="0.2">
      <c r="A39" s="12"/>
      <c r="B39" s="150">
        <v>6336</v>
      </c>
      <c r="C39" s="151">
        <v>46074</v>
      </c>
      <c r="D39" s="150">
        <v>34</v>
      </c>
      <c r="E39" s="151" t="s">
        <v>30</v>
      </c>
      <c r="F39" s="152">
        <v>2.16</v>
      </c>
      <c r="G39" s="152">
        <f t="shared" si="11"/>
        <v>13685.76</v>
      </c>
      <c r="H39" s="153">
        <f>F39/2.196</f>
        <v>0.98360655737704916</v>
      </c>
      <c r="I39" s="150">
        <f t="shared" si="12"/>
        <v>215424</v>
      </c>
      <c r="J39" s="5"/>
      <c r="K39" s="12"/>
      <c r="L39" s="150">
        <v>4992</v>
      </c>
      <c r="M39" s="151">
        <v>46072</v>
      </c>
      <c r="N39" s="150">
        <v>32</v>
      </c>
      <c r="O39" s="151" t="s">
        <v>30</v>
      </c>
      <c r="P39" s="152">
        <v>2.02</v>
      </c>
      <c r="Q39" s="152">
        <f t="shared" si="13"/>
        <v>10083.84</v>
      </c>
      <c r="R39" s="153">
        <f>P39/2.698</f>
        <v>0.74870274277242399</v>
      </c>
      <c r="S39" s="150">
        <f t="shared" si="14"/>
        <v>159744</v>
      </c>
      <c r="T39" s="1"/>
      <c r="U39" s="12"/>
      <c r="V39" s="150">
        <v>1248</v>
      </c>
      <c r="W39" s="151">
        <v>46070</v>
      </c>
      <c r="X39" s="150">
        <v>30</v>
      </c>
      <c r="Y39" s="150" t="s">
        <v>30</v>
      </c>
      <c r="Z39" s="152">
        <v>1.92</v>
      </c>
      <c r="AA39" s="152">
        <f t="shared" si="15"/>
        <v>2396.16</v>
      </c>
      <c r="AB39" s="153">
        <f>Z39/1.805</f>
        <v>1.0637119113573408</v>
      </c>
      <c r="AC39" s="150">
        <f t="shared" si="16"/>
        <v>37440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ht="17.45" customHeight="1" x14ac:dyDescent="0.2">
      <c r="A40" s="12"/>
      <c r="B40" s="150">
        <v>6400</v>
      </c>
      <c r="C40" s="151">
        <v>46078</v>
      </c>
      <c r="D40" s="150">
        <v>39</v>
      </c>
      <c r="E40" s="150" t="s">
        <v>30</v>
      </c>
      <c r="F40" s="152">
        <v>2.94</v>
      </c>
      <c r="G40" s="152">
        <f t="shared" si="11"/>
        <v>18816</v>
      </c>
      <c r="H40" s="153">
        <f>F40/2.697</f>
        <v>1.0901001112347051</v>
      </c>
      <c r="I40" s="150">
        <f t="shared" si="12"/>
        <v>249600</v>
      </c>
      <c r="J40" s="5"/>
      <c r="K40" s="12"/>
      <c r="L40" s="150">
        <v>6864</v>
      </c>
      <c r="M40" s="151">
        <v>46079</v>
      </c>
      <c r="N40" s="150">
        <v>39</v>
      </c>
      <c r="O40" s="150" t="s">
        <v>30</v>
      </c>
      <c r="P40" s="152">
        <v>2.94</v>
      </c>
      <c r="Q40" s="152">
        <f t="shared" si="13"/>
        <v>20180.16</v>
      </c>
      <c r="R40" s="153">
        <f>P40/2.898</f>
        <v>1.0144927536231882</v>
      </c>
      <c r="S40" s="150">
        <f t="shared" si="14"/>
        <v>267696</v>
      </c>
      <c r="T40" s="1"/>
      <c r="U40" s="12"/>
      <c r="V40" s="150">
        <v>5456</v>
      </c>
      <c r="W40" s="151">
        <v>46076</v>
      </c>
      <c r="X40" s="150">
        <v>37</v>
      </c>
      <c r="Y40" s="150" t="s">
        <v>30</v>
      </c>
      <c r="Z40" s="152">
        <v>2.4900000000000002</v>
      </c>
      <c r="AA40" s="152">
        <f t="shared" si="15"/>
        <v>13585.44</v>
      </c>
      <c r="AB40" s="153">
        <f>Z40/2.496</f>
        <v>0.99759615384615397</v>
      </c>
      <c r="AC40" s="150">
        <f t="shared" si="16"/>
        <v>201872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ht="17.45" customHeight="1" x14ac:dyDescent="0.2">
      <c r="A41" s="12"/>
      <c r="B41" s="150">
        <v>21296</v>
      </c>
      <c r="C41" s="151">
        <v>46083</v>
      </c>
      <c r="D41" s="150">
        <v>44</v>
      </c>
      <c r="E41" s="150" t="s">
        <v>30</v>
      </c>
      <c r="F41" s="152">
        <v>3.54</v>
      </c>
      <c r="G41" s="152">
        <f t="shared" si="11"/>
        <v>75387.839999999997</v>
      </c>
      <c r="H41" s="153">
        <f>F41/3.197</f>
        <v>1.1072880825774163</v>
      </c>
      <c r="I41" s="150">
        <f t="shared" si="12"/>
        <v>937024</v>
      </c>
      <c r="J41" s="5"/>
      <c r="K41" s="12"/>
      <c r="L41" s="150">
        <v>19360</v>
      </c>
      <c r="M41" s="151">
        <v>46083</v>
      </c>
      <c r="N41" s="150">
        <v>45</v>
      </c>
      <c r="O41" s="150" t="s">
        <v>30</v>
      </c>
      <c r="P41" s="152">
        <v>3.38</v>
      </c>
      <c r="Q41" s="152">
        <f t="shared" si="13"/>
        <v>65436.799999999996</v>
      </c>
      <c r="R41" s="153">
        <f>P41/2.898</f>
        <v>1.1663216011042097</v>
      </c>
      <c r="S41" s="150">
        <f t="shared" si="14"/>
        <v>871200</v>
      </c>
      <c r="T41" s="1"/>
      <c r="U41" s="12"/>
      <c r="V41" s="150">
        <v>11136</v>
      </c>
      <c r="W41" s="151">
        <v>46081</v>
      </c>
      <c r="X41" s="150">
        <v>41</v>
      </c>
      <c r="Y41" s="150" t="s">
        <v>30</v>
      </c>
      <c r="Z41" s="152">
        <v>3.18</v>
      </c>
      <c r="AA41" s="152">
        <f t="shared" si="15"/>
        <v>35412.480000000003</v>
      </c>
      <c r="AB41" s="153">
        <f>Z41/2.898</f>
        <v>1.0973084886128364</v>
      </c>
      <c r="AC41" s="150">
        <f t="shared" si="16"/>
        <v>456576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ht="17.45" customHeight="1" x14ac:dyDescent="0.2">
      <c r="A42" s="12"/>
      <c r="B42" s="140"/>
      <c r="C42" s="141"/>
      <c r="D42" s="140"/>
      <c r="E42" s="140"/>
      <c r="F42" s="142"/>
      <c r="G42" s="142">
        <f t="shared" si="11"/>
        <v>0</v>
      </c>
      <c r="H42" s="143">
        <f>F42/3.61</f>
        <v>0</v>
      </c>
      <c r="I42" s="140">
        <f t="shared" si="12"/>
        <v>0</v>
      </c>
      <c r="J42" s="5"/>
      <c r="K42" s="12"/>
      <c r="L42" s="150"/>
      <c r="M42" s="151"/>
      <c r="N42" s="150"/>
      <c r="O42" s="150"/>
      <c r="P42" s="152"/>
      <c r="Q42" s="152">
        <f t="shared" si="13"/>
        <v>0</v>
      </c>
      <c r="R42" s="153">
        <f>P42/3.617</f>
        <v>0</v>
      </c>
      <c r="S42" s="150">
        <f t="shared" si="14"/>
        <v>0</v>
      </c>
      <c r="T42" s="1"/>
      <c r="U42" s="12"/>
      <c r="V42" s="150">
        <v>11592</v>
      </c>
      <c r="W42" s="151">
        <v>46085</v>
      </c>
      <c r="X42" s="150">
        <v>45</v>
      </c>
      <c r="Y42" s="150" t="s">
        <v>30</v>
      </c>
      <c r="Z42" s="177">
        <v>3.51</v>
      </c>
      <c r="AA42" s="152">
        <f t="shared" si="15"/>
        <v>40687.919999999998</v>
      </c>
      <c r="AB42" s="153">
        <f>Z42/3.295</f>
        <v>1.0652503793626706</v>
      </c>
      <c r="AC42" s="150">
        <f t="shared" si="16"/>
        <v>521640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ht="17.45" customHeight="1" x14ac:dyDescent="0.2">
      <c r="A43" s="12"/>
      <c r="B43" s="23"/>
      <c r="C43" s="52"/>
      <c r="D43" s="23"/>
      <c r="E43" s="23"/>
      <c r="F43" s="53"/>
      <c r="G43" s="53">
        <f t="shared" si="11"/>
        <v>0</v>
      </c>
      <c r="H43" s="24">
        <f>F43/3.92</f>
        <v>0</v>
      </c>
      <c r="I43" s="23">
        <f t="shared" si="12"/>
        <v>0</v>
      </c>
      <c r="J43" s="5"/>
      <c r="K43" s="12"/>
      <c r="L43" s="23"/>
      <c r="M43" s="52"/>
      <c r="N43" s="23"/>
      <c r="O43" s="23"/>
      <c r="P43" s="53"/>
      <c r="Q43" s="53">
        <f t="shared" si="13"/>
        <v>0</v>
      </c>
      <c r="R43" s="24">
        <f>P43/3.669</f>
        <v>0</v>
      </c>
      <c r="S43" s="23">
        <f t="shared" si="14"/>
        <v>0</v>
      </c>
      <c r="T43" s="1"/>
      <c r="U43" s="12"/>
      <c r="V43" s="154">
        <v>4800</v>
      </c>
      <c r="W43" s="155">
        <v>46086</v>
      </c>
      <c r="X43" s="154">
        <v>46</v>
      </c>
      <c r="Y43" s="154" t="s">
        <v>30</v>
      </c>
      <c r="Z43" s="156">
        <v>3.64</v>
      </c>
      <c r="AA43" s="156">
        <f>V43*Z43</f>
        <v>17472</v>
      </c>
      <c r="AB43" s="157">
        <f>Z43/3.61</f>
        <v>1.0083102493074794</v>
      </c>
      <c r="AC43" s="154">
        <f>V43*X43</f>
        <v>220800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ht="17.45" customHeight="1" x14ac:dyDescent="0.2">
      <c r="A44" s="12"/>
      <c r="B44" s="13"/>
      <c r="C44" s="56"/>
      <c r="D44" s="13"/>
      <c r="E44" s="13"/>
      <c r="F44" s="57"/>
      <c r="G44" s="57">
        <f t="shared" si="11"/>
        <v>0</v>
      </c>
      <c r="H44" s="58">
        <f>F44/3.986</f>
        <v>0</v>
      </c>
      <c r="I44" s="13">
        <f t="shared" si="12"/>
        <v>0</v>
      </c>
      <c r="J44" s="5"/>
      <c r="K44" s="12"/>
      <c r="L44" s="13"/>
      <c r="M44" s="62"/>
      <c r="N44" s="13"/>
      <c r="O44" s="13"/>
      <c r="P44" s="57"/>
      <c r="Q44" s="57">
        <f t="shared" si="13"/>
        <v>0</v>
      </c>
      <c r="R44" s="58">
        <f>P44/3.659</f>
        <v>0</v>
      </c>
      <c r="S44" s="13">
        <f t="shared" si="14"/>
        <v>0</v>
      </c>
      <c r="T44" s="1"/>
      <c r="U44" s="12"/>
      <c r="V44" s="13"/>
      <c r="W44" s="56"/>
      <c r="X44" s="13"/>
      <c r="Y44" s="13"/>
      <c r="Z44" s="57"/>
      <c r="AA44" s="57">
        <f>V44*Z44</f>
        <v>0</v>
      </c>
      <c r="AB44" s="58">
        <f>Z44/3.933</f>
        <v>0</v>
      </c>
      <c r="AC44" s="13">
        <f>V44*X44</f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ht="17.45" customHeight="1" x14ac:dyDescent="0.2">
      <c r="A45" s="12"/>
      <c r="B45" s="13"/>
      <c r="C45" s="56"/>
      <c r="D45" s="13"/>
      <c r="E45" s="13"/>
      <c r="F45" s="53"/>
      <c r="G45" s="57">
        <f t="shared" si="11"/>
        <v>0</v>
      </c>
      <c r="H45" s="58">
        <f>F45/3.986</f>
        <v>0</v>
      </c>
      <c r="I45" s="13">
        <f t="shared" si="12"/>
        <v>0</v>
      </c>
      <c r="J45" s="5"/>
      <c r="K45" s="12"/>
      <c r="L45" s="13"/>
      <c r="M45" s="56"/>
      <c r="N45" s="13"/>
      <c r="O45" s="13"/>
      <c r="P45" s="57"/>
      <c r="Q45" s="57">
        <f t="shared" si="13"/>
        <v>0</v>
      </c>
      <c r="R45" s="58">
        <f>P45/3.743</f>
        <v>0</v>
      </c>
      <c r="S45" s="13">
        <f t="shared" si="14"/>
        <v>0</v>
      </c>
      <c r="T45" s="1"/>
      <c r="U45" s="12"/>
      <c r="V45" s="13"/>
      <c r="W45" s="62" t="s">
        <v>45</v>
      </c>
      <c r="X45" s="13"/>
      <c r="Y45" s="13"/>
      <c r="Z45" s="57"/>
      <c r="AA45" s="57">
        <f t="shared" si="15"/>
        <v>0</v>
      </c>
      <c r="AB45" s="58">
        <f>Z45/2.3</f>
        <v>0</v>
      </c>
      <c r="AC45" s="13">
        <f t="shared" si="16"/>
        <v>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ht="17.45" customHeight="1" x14ac:dyDescent="0.2">
      <c r="A46" s="12"/>
      <c r="B46" s="13"/>
      <c r="C46" s="56"/>
      <c r="D46" s="13"/>
      <c r="E46" s="13"/>
      <c r="F46" s="57"/>
      <c r="G46" s="57">
        <f t="shared" si="11"/>
        <v>0</v>
      </c>
      <c r="H46" s="58">
        <f>F46/3.743</f>
        <v>0</v>
      </c>
      <c r="I46" s="13">
        <f t="shared" si="12"/>
        <v>0</v>
      </c>
      <c r="J46" s="5"/>
      <c r="K46" s="12"/>
      <c r="L46" s="13"/>
      <c r="M46" s="56"/>
      <c r="N46" s="13"/>
      <c r="O46" s="13"/>
      <c r="P46" s="57"/>
      <c r="Q46" s="57">
        <f t="shared" si="13"/>
        <v>0</v>
      </c>
      <c r="R46" s="58">
        <f>P46/3.743</f>
        <v>0</v>
      </c>
      <c r="S46" s="13">
        <f t="shared" si="14"/>
        <v>0</v>
      </c>
      <c r="T46" s="1"/>
      <c r="U46" s="12"/>
      <c r="V46" s="13"/>
      <c r="W46" s="56"/>
      <c r="X46" s="13"/>
      <c r="Y46" s="13"/>
      <c r="Z46" s="57"/>
      <c r="AA46" s="57">
        <f t="shared" si="15"/>
        <v>0</v>
      </c>
      <c r="AB46" s="58">
        <f>Z46/3.743</f>
        <v>0</v>
      </c>
      <c r="AC46" s="13">
        <f t="shared" si="16"/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ht="17.45" customHeight="1" x14ac:dyDescent="0.2">
      <c r="A47" s="12"/>
      <c r="B47" s="12"/>
      <c r="C47" s="95"/>
      <c r="D47" s="12"/>
      <c r="E47" s="13"/>
      <c r="F47" s="15"/>
      <c r="G47" s="15"/>
      <c r="H47" s="67"/>
      <c r="I47" s="12"/>
      <c r="J47" s="5"/>
      <c r="K47" s="12"/>
      <c r="L47" s="13"/>
      <c r="M47" s="56"/>
      <c r="N47" s="13"/>
      <c r="O47" s="13"/>
      <c r="P47" s="57"/>
      <c r="Q47" s="57"/>
      <c r="R47" s="58"/>
      <c r="S47" s="13"/>
      <c r="T47" s="1"/>
      <c r="U47" s="12"/>
      <c r="V47" s="12"/>
      <c r="W47" s="95"/>
      <c r="X47" s="12"/>
      <c r="Y47" s="13"/>
      <c r="Z47" s="15"/>
      <c r="AA47" s="15"/>
      <c r="AB47" s="67"/>
      <c r="AC47" s="12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ht="17.45" customHeight="1" x14ac:dyDescent="0.2">
      <c r="A48" s="65">
        <f>B36-(B37+B48)</f>
        <v>0</v>
      </c>
      <c r="B48" s="65">
        <f>SUM(B38:B47)</f>
        <v>41248</v>
      </c>
      <c r="C48" s="12"/>
      <c r="D48" s="12">
        <f>SUM(D37:D45)</f>
        <v>147</v>
      </c>
      <c r="E48" s="12"/>
      <c r="F48" s="15">
        <f>G48/B48</f>
        <v>2.9375252133436773</v>
      </c>
      <c r="G48" s="15">
        <f>SUM(G38:G47)</f>
        <v>121167.03999999999</v>
      </c>
      <c r="H48" s="12"/>
      <c r="I48" s="12"/>
      <c r="J48" s="5"/>
      <c r="K48" s="65">
        <f>L36-(L37+L48)</f>
        <v>0</v>
      </c>
      <c r="L48" s="65">
        <f>SUM(L38:L47)</f>
        <v>38080</v>
      </c>
      <c r="M48" s="12"/>
      <c r="N48" s="12">
        <f>SUM(N37:N44)</f>
        <v>148</v>
      </c>
      <c r="O48" s="12"/>
      <c r="P48" s="15">
        <f>Q48/L48</f>
        <v>2.8754579831932774</v>
      </c>
      <c r="Q48" s="15">
        <f>SUM(Q38:Q47)</f>
        <v>109497.44</v>
      </c>
      <c r="R48" s="12"/>
      <c r="S48" s="12"/>
      <c r="T48" s="1"/>
      <c r="U48" s="65">
        <f>V36-(V37+V48)</f>
        <v>0</v>
      </c>
      <c r="V48" s="65">
        <f>SUM(V38:V47)</f>
        <v>39888</v>
      </c>
      <c r="W48" s="12"/>
      <c r="X48" s="12">
        <f>SUM(X38:X45)</f>
        <v>229</v>
      </c>
      <c r="Y48" s="12"/>
      <c r="Z48" s="15">
        <f>AA48/V48</f>
        <v>3.0187906137184117</v>
      </c>
      <c r="AA48" s="15">
        <f>SUM(AA38:AA47)</f>
        <v>120413.52</v>
      </c>
      <c r="AB48" s="12"/>
      <c r="AC48" s="12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17.45" customHeight="1" x14ac:dyDescent="0.2">
      <c r="A49" s="12"/>
      <c r="B49" s="12"/>
      <c r="C49" s="12"/>
      <c r="D49" s="12"/>
      <c r="E49" s="12"/>
      <c r="F49" s="15"/>
      <c r="G49" s="72" t="s">
        <v>40</v>
      </c>
      <c r="H49" s="12" t="s">
        <v>41</v>
      </c>
      <c r="I49" s="15">
        <f>SUM(I38:I47)/(B36-B37)</f>
        <v>39.238944918541506</v>
      </c>
      <c r="J49" s="1"/>
      <c r="K49" s="12"/>
      <c r="L49" s="12"/>
      <c r="M49" s="12"/>
      <c r="N49" s="12"/>
      <c r="O49" s="12"/>
      <c r="P49" s="15"/>
      <c r="Q49" s="72" t="s">
        <v>40</v>
      </c>
      <c r="R49" s="12" t="s">
        <v>41</v>
      </c>
      <c r="S49" s="15">
        <f>SUM(S38:S47)/(L36-L37)</f>
        <v>39.871008403361344</v>
      </c>
      <c r="T49" s="1"/>
      <c r="U49" s="12"/>
      <c r="V49" s="12"/>
      <c r="W49" s="12"/>
      <c r="X49" s="12"/>
      <c r="Y49" s="12"/>
      <c r="Z49" s="15"/>
      <c r="AA49" s="72" t="s">
        <v>40</v>
      </c>
      <c r="AB49" s="12" t="s">
        <v>41</v>
      </c>
      <c r="AC49" s="15">
        <f>SUM(AC38:AC47)/(V36-V37)</f>
        <v>40.313076614520661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ht="17.4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ht="17.45" customHeight="1" x14ac:dyDescent="0.2">
      <c r="A51" s="6" t="s">
        <v>49</v>
      </c>
      <c r="B51" s="7" t="s">
        <v>5</v>
      </c>
      <c r="C51" s="7" t="s">
        <v>6</v>
      </c>
      <c r="D51" s="7" t="s">
        <v>7</v>
      </c>
      <c r="E51" s="7" t="s">
        <v>8</v>
      </c>
      <c r="F51" s="8" t="s">
        <v>9</v>
      </c>
      <c r="G51" s="8" t="s">
        <v>10</v>
      </c>
      <c r="H51" s="7" t="s">
        <v>11</v>
      </c>
      <c r="I51" s="9" t="s">
        <v>12</v>
      </c>
      <c r="J51" s="11"/>
      <c r="K51" s="6" t="s">
        <v>50</v>
      </c>
      <c r="L51" s="7" t="s">
        <v>5</v>
      </c>
      <c r="M51" s="7" t="s">
        <v>6</v>
      </c>
      <c r="N51" s="7" t="s">
        <v>7</v>
      </c>
      <c r="O51" s="7" t="s">
        <v>8</v>
      </c>
      <c r="P51" s="8" t="s">
        <v>9</v>
      </c>
      <c r="Q51" s="8" t="s">
        <v>10</v>
      </c>
      <c r="R51" s="7" t="s">
        <v>11</v>
      </c>
      <c r="S51" s="9" t="s">
        <v>12</v>
      </c>
      <c r="T51" s="1"/>
      <c r="U51" s="6" t="s">
        <v>51</v>
      </c>
      <c r="V51" s="7" t="s">
        <v>5</v>
      </c>
      <c r="W51" s="7" t="s">
        <v>6</v>
      </c>
      <c r="X51" s="7" t="s">
        <v>7</v>
      </c>
      <c r="Y51" s="7" t="s">
        <v>8</v>
      </c>
      <c r="Z51" s="8" t="s">
        <v>9</v>
      </c>
      <c r="AA51" s="8" t="s">
        <v>10</v>
      </c>
      <c r="AB51" s="7" t="s">
        <v>11</v>
      </c>
      <c r="AC51" s="9" t="s">
        <v>12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ht="17.45" customHeight="1" x14ac:dyDescent="0.2">
      <c r="A52" s="12" t="s">
        <v>15</v>
      </c>
      <c r="B52" s="12">
        <v>41800</v>
      </c>
      <c r="C52" s="12"/>
      <c r="D52" s="12"/>
      <c r="E52" s="12"/>
      <c r="F52" s="15"/>
      <c r="G52" s="15"/>
      <c r="H52" s="12"/>
      <c r="I52" s="12"/>
      <c r="J52" s="5"/>
      <c r="K52" s="12" t="s">
        <v>15</v>
      </c>
      <c r="L52" s="12">
        <v>42000</v>
      </c>
      <c r="M52" s="12"/>
      <c r="N52" s="12"/>
      <c r="O52" s="12"/>
      <c r="P52" s="15"/>
      <c r="Q52" s="15"/>
      <c r="R52" s="12"/>
      <c r="S52" s="12"/>
      <c r="T52" s="1"/>
      <c r="U52" s="12" t="s">
        <v>15</v>
      </c>
      <c r="V52" s="12">
        <v>42100</v>
      </c>
      <c r="W52" s="12"/>
      <c r="X52" s="12"/>
      <c r="Y52" s="12"/>
      <c r="Z52" s="15"/>
      <c r="AA52" s="15"/>
      <c r="AB52" s="12"/>
      <c r="AC52" s="12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17.45" customHeight="1" x14ac:dyDescent="0.2">
      <c r="A53" s="12" t="s">
        <v>19</v>
      </c>
      <c r="B53" s="27">
        <v>2480</v>
      </c>
      <c r="C53" s="101">
        <f>B53/B52</f>
        <v>5.9330143540669858E-2</v>
      </c>
      <c r="D53" s="13"/>
      <c r="E53" s="13"/>
      <c r="F53" s="58"/>
      <c r="G53" s="57"/>
      <c r="H53" s="13"/>
      <c r="I53" s="13"/>
      <c r="J53" s="5"/>
      <c r="K53" s="12" t="s">
        <v>19</v>
      </c>
      <c r="L53" s="65">
        <v>3840</v>
      </c>
      <c r="M53" s="30">
        <f>L53/L52</f>
        <v>9.1428571428571428E-2</v>
      </c>
      <c r="N53" s="12"/>
      <c r="O53" s="12"/>
      <c r="P53" s="29"/>
      <c r="Q53" s="15"/>
      <c r="R53" s="12"/>
      <c r="S53" s="12"/>
      <c r="T53" s="1"/>
      <c r="U53" s="12" t="s">
        <v>19</v>
      </c>
      <c r="V53" s="65">
        <v>1588</v>
      </c>
      <c r="W53" s="30">
        <f>V53/V52</f>
        <v>3.7719714964370543E-2</v>
      </c>
      <c r="X53" s="12"/>
      <c r="Y53" s="12"/>
      <c r="Z53" s="29"/>
      <c r="AA53" s="15"/>
      <c r="AB53" s="12"/>
      <c r="AC53" s="1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ht="17.45" customHeight="1" x14ac:dyDescent="0.2">
      <c r="A54" s="12"/>
      <c r="B54" s="150">
        <v>6512</v>
      </c>
      <c r="C54" s="151">
        <v>46071</v>
      </c>
      <c r="D54" s="150">
        <v>32</v>
      </c>
      <c r="E54" s="151" t="s">
        <v>30</v>
      </c>
      <c r="F54" s="152">
        <v>2.09</v>
      </c>
      <c r="G54" s="152">
        <f t="shared" ref="G54:G62" si="17">B54*F54</f>
        <v>13610.08</v>
      </c>
      <c r="H54" s="153">
        <f>F54/1.999</f>
        <v>1.0455227613806901</v>
      </c>
      <c r="I54" s="150">
        <f t="shared" ref="I54:I62" si="18">B54*D54</f>
        <v>208384</v>
      </c>
      <c r="J54" s="5"/>
      <c r="K54" s="12"/>
      <c r="L54" s="150">
        <v>6512</v>
      </c>
      <c r="M54" s="151">
        <v>46071</v>
      </c>
      <c r="N54" s="150">
        <v>32</v>
      </c>
      <c r="O54" s="151" t="s">
        <v>30</v>
      </c>
      <c r="P54" s="152">
        <v>2.17</v>
      </c>
      <c r="Q54" s="152">
        <f t="shared" ref="Q54:Q62" si="19">L54*P54</f>
        <v>14131.039999999999</v>
      </c>
      <c r="R54" s="153">
        <f>P54/1.999</f>
        <v>1.0855427713856927</v>
      </c>
      <c r="S54" s="150">
        <f t="shared" ref="S54:S62" si="20">L54*N54</f>
        <v>208384</v>
      </c>
      <c r="T54" s="1"/>
      <c r="U54" s="12"/>
      <c r="V54" s="150">
        <v>6688</v>
      </c>
      <c r="W54" s="151">
        <v>46071</v>
      </c>
      <c r="X54" s="150">
        <v>32</v>
      </c>
      <c r="Y54" s="150" t="s">
        <v>30</v>
      </c>
      <c r="Z54" s="152">
        <v>2.09</v>
      </c>
      <c r="AA54" s="152">
        <f t="shared" ref="AA54:AA62" si="21">V54*Z54</f>
        <v>13977.919999999998</v>
      </c>
      <c r="AB54" s="153">
        <f>Z54/1.999</f>
        <v>1.0455227613806901</v>
      </c>
      <c r="AC54" s="150">
        <f t="shared" ref="AC54:AC62" si="22">V54*X54</f>
        <v>214016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17.45" customHeight="1" x14ac:dyDescent="0.2">
      <c r="A55" s="12"/>
      <c r="B55" s="150">
        <v>5984</v>
      </c>
      <c r="C55" s="151">
        <v>46074</v>
      </c>
      <c r="D55" s="150">
        <v>34</v>
      </c>
      <c r="E55" s="151" t="s">
        <v>30</v>
      </c>
      <c r="F55" s="152">
        <v>2.27</v>
      </c>
      <c r="G55" s="152">
        <f t="shared" si="17"/>
        <v>13583.68</v>
      </c>
      <c r="H55" s="153">
        <f>F55/2.196</f>
        <v>1.0336976320582878</v>
      </c>
      <c r="I55" s="150">
        <f t="shared" si="18"/>
        <v>203456</v>
      </c>
      <c r="J55" s="5"/>
      <c r="K55" s="12"/>
      <c r="L55" s="150">
        <v>5984</v>
      </c>
      <c r="M55" s="151">
        <v>46074</v>
      </c>
      <c r="N55" s="150">
        <v>34</v>
      </c>
      <c r="O55" s="151" t="s">
        <v>30</v>
      </c>
      <c r="P55" s="152">
        <v>2.2799999999999998</v>
      </c>
      <c r="Q55" s="152">
        <f t="shared" si="19"/>
        <v>13643.519999999999</v>
      </c>
      <c r="R55" s="153">
        <f>P55/2.196</f>
        <v>1.0382513661202184</v>
      </c>
      <c r="S55" s="150">
        <f t="shared" si="20"/>
        <v>203456</v>
      </c>
      <c r="T55" s="1"/>
      <c r="U55" s="12"/>
      <c r="V55" s="150">
        <v>6160</v>
      </c>
      <c r="W55" s="151">
        <v>46074</v>
      </c>
      <c r="X55" s="150">
        <v>34</v>
      </c>
      <c r="Y55" s="150" t="s">
        <v>30</v>
      </c>
      <c r="Z55" s="152">
        <v>2.25</v>
      </c>
      <c r="AA55" s="152">
        <f t="shared" si="21"/>
        <v>13860</v>
      </c>
      <c r="AB55" s="153">
        <f>Z55/2.196</f>
        <v>1.0245901639344261</v>
      </c>
      <c r="AC55" s="150">
        <f t="shared" si="22"/>
        <v>209440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17.45" customHeight="1" x14ac:dyDescent="0.2">
      <c r="A56" s="12"/>
      <c r="B56" s="150">
        <v>5824</v>
      </c>
      <c r="C56" s="151">
        <v>46078</v>
      </c>
      <c r="D56" s="150">
        <v>39</v>
      </c>
      <c r="E56" s="150" t="s">
        <v>30</v>
      </c>
      <c r="F56" s="152">
        <v>2.91</v>
      </c>
      <c r="G56" s="152">
        <f t="shared" si="17"/>
        <v>16947.84</v>
      </c>
      <c r="H56" s="153">
        <f>F56/2.697</f>
        <v>1.0789766407119021</v>
      </c>
      <c r="I56" s="150">
        <f t="shared" si="18"/>
        <v>227136</v>
      </c>
      <c r="J56" s="5"/>
      <c r="K56" s="12"/>
      <c r="L56" s="150">
        <v>5824</v>
      </c>
      <c r="M56" s="151">
        <v>46078</v>
      </c>
      <c r="N56" s="150">
        <v>39</v>
      </c>
      <c r="O56" s="150" t="s">
        <v>30</v>
      </c>
      <c r="P56" s="152">
        <v>2.91</v>
      </c>
      <c r="Q56" s="152">
        <f t="shared" si="19"/>
        <v>16947.84</v>
      </c>
      <c r="R56" s="153">
        <f>P56/2.697</f>
        <v>1.0789766407119021</v>
      </c>
      <c r="S56" s="150">
        <f t="shared" si="20"/>
        <v>227136</v>
      </c>
      <c r="T56" s="1"/>
      <c r="U56" s="12"/>
      <c r="V56" s="150">
        <v>6864</v>
      </c>
      <c r="W56" s="151">
        <v>46079</v>
      </c>
      <c r="X56" s="150">
        <v>39</v>
      </c>
      <c r="Y56" s="150" t="s">
        <v>30</v>
      </c>
      <c r="Z56" s="152">
        <v>2.94</v>
      </c>
      <c r="AA56" s="152">
        <f t="shared" si="21"/>
        <v>20180.16</v>
      </c>
      <c r="AB56" s="153">
        <f>Z56/2.698</f>
        <v>1.0896960711638251</v>
      </c>
      <c r="AC56" s="150">
        <f t="shared" si="22"/>
        <v>267696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17.45" customHeight="1" x14ac:dyDescent="0.2">
      <c r="A57" s="12"/>
      <c r="B57" s="150">
        <v>20328</v>
      </c>
      <c r="C57" s="151">
        <v>46084</v>
      </c>
      <c r="D57" s="150">
        <v>45</v>
      </c>
      <c r="E57" s="150" t="s">
        <v>30</v>
      </c>
      <c r="F57" s="152">
        <v>3.5</v>
      </c>
      <c r="G57" s="152">
        <f t="shared" si="17"/>
        <v>71148</v>
      </c>
      <c r="H57" s="153">
        <f>F57/3.295</f>
        <v>1.062215477996965</v>
      </c>
      <c r="I57" s="150">
        <f t="shared" si="18"/>
        <v>914760</v>
      </c>
      <c r="J57" s="5"/>
      <c r="K57" s="12"/>
      <c r="L57" s="150">
        <v>19840</v>
      </c>
      <c r="M57" s="151">
        <v>46085</v>
      </c>
      <c r="N57" s="150">
        <v>46</v>
      </c>
      <c r="O57" s="150" t="s">
        <v>30</v>
      </c>
      <c r="P57" s="152">
        <v>3.75</v>
      </c>
      <c r="Q57" s="152">
        <f t="shared" si="19"/>
        <v>74400</v>
      </c>
      <c r="R57" s="153">
        <f>P57/2.898</f>
        <v>1.2939958592132506</v>
      </c>
      <c r="S57" s="150">
        <f t="shared" si="20"/>
        <v>912640</v>
      </c>
      <c r="T57" s="1"/>
      <c r="U57" s="12"/>
      <c r="V57" s="179">
        <v>20800</v>
      </c>
      <c r="W57" s="180">
        <v>46085</v>
      </c>
      <c r="X57" s="179">
        <v>46</v>
      </c>
      <c r="Y57" s="179" t="s">
        <v>30</v>
      </c>
      <c r="Z57" s="181">
        <v>3.68</v>
      </c>
      <c r="AA57" s="181">
        <f t="shared" si="21"/>
        <v>76544</v>
      </c>
      <c r="AB57" s="182">
        <f>Z57/3.197</f>
        <v>1.1510791366906474</v>
      </c>
      <c r="AC57" s="179">
        <f t="shared" si="22"/>
        <v>956800</v>
      </c>
      <c r="AD57" s="102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17.45" customHeight="1" x14ac:dyDescent="0.2">
      <c r="A58" s="12"/>
      <c r="B58" s="150">
        <v>672</v>
      </c>
      <c r="C58" s="151">
        <v>46084</v>
      </c>
      <c r="D58" s="150">
        <v>45</v>
      </c>
      <c r="E58" s="150" t="s">
        <v>30</v>
      </c>
      <c r="F58" s="152">
        <v>3.46</v>
      </c>
      <c r="G58" s="152">
        <f t="shared" si="17"/>
        <v>2325.12</v>
      </c>
      <c r="H58" s="153">
        <f>F58/3.295</f>
        <v>1.0500758725341426</v>
      </c>
      <c r="I58" s="150">
        <f t="shared" si="18"/>
        <v>30240</v>
      </c>
      <c r="J58" s="5"/>
      <c r="K58" s="12"/>
      <c r="L58" s="150"/>
      <c r="M58" s="151"/>
      <c r="N58" s="150"/>
      <c r="O58" s="150"/>
      <c r="P58" s="152"/>
      <c r="Q58" s="152">
        <f t="shared" si="19"/>
        <v>0</v>
      </c>
      <c r="R58" s="153">
        <f>P58/3.24</f>
        <v>0</v>
      </c>
      <c r="S58" s="150">
        <f t="shared" si="20"/>
        <v>0</v>
      </c>
      <c r="T58" s="1"/>
      <c r="U58" s="12"/>
      <c r="V58" s="150"/>
      <c r="W58" s="151"/>
      <c r="X58" s="150"/>
      <c r="Y58" s="150"/>
      <c r="Z58" s="177"/>
      <c r="AA58" s="152">
        <f t="shared" si="21"/>
        <v>0</v>
      </c>
      <c r="AB58" s="153">
        <f>Z58/3.869</f>
        <v>0</v>
      </c>
      <c r="AC58" s="150">
        <f t="shared" si="22"/>
        <v>0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7.45" customHeight="1" x14ac:dyDescent="0.2">
      <c r="A59" s="12"/>
      <c r="B59" s="23"/>
      <c r="C59" s="52"/>
      <c r="D59" s="23"/>
      <c r="E59" s="23"/>
      <c r="F59" s="53"/>
      <c r="G59" s="53">
        <f t="shared" si="17"/>
        <v>0</v>
      </c>
      <c r="H59" s="24">
        <f>F59/3.92</f>
        <v>0</v>
      </c>
      <c r="I59" s="23">
        <f t="shared" si="18"/>
        <v>0</v>
      </c>
      <c r="J59" s="5"/>
      <c r="K59" s="12"/>
      <c r="L59" s="23"/>
      <c r="M59" s="52"/>
      <c r="N59" s="23"/>
      <c r="O59" s="23"/>
      <c r="P59" s="53"/>
      <c r="Q59" s="53">
        <f t="shared" si="19"/>
        <v>0</v>
      </c>
      <c r="R59" s="24">
        <f>P59/3.669</f>
        <v>0</v>
      </c>
      <c r="S59" s="23">
        <f t="shared" si="20"/>
        <v>0</v>
      </c>
      <c r="T59" s="1"/>
      <c r="U59" s="12"/>
      <c r="V59" s="13"/>
      <c r="W59" s="56"/>
      <c r="X59" s="13"/>
      <c r="Y59" s="13"/>
      <c r="Z59" s="57"/>
      <c r="AA59" s="53">
        <f t="shared" si="21"/>
        <v>0</v>
      </c>
      <c r="AB59" s="24">
        <f>Z59/3.754</f>
        <v>0</v>
      </c>
      <c r="AC59" s="23">
        <f t="shared" si="22"/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7.45" customHeight="1" x14ac:dyDescent="0.2">
      <c r="A60" s="12"/>
      <c r="B60" s="13"/>
      <c r="C60" s="56"/>
      <c r="D60" s="13"/>
      <c r="E60" s="13"/>
      <c r="F60" s="57"/>
      <c r="G60" s="57">
        <f t="shared" si="17"/>
        <v>0</v>
      </c>
      <c r="H60" s="58">
        <f>F60/3.986</f>
        <v>0</v>
      </c>
      <c r="I60" s="13">
        <f t="shared" si="18"/>
        <v>0</v>
      </c>
      <c r="J60" s="5"/>
      <c r="K60" s="12"/>
      <c r="L60" s="13"/>
      <c r="M60" s="62"/>
      <c r="N60" s="13"/>
      <c r="O60" s="13"/>
      <c r="P60" s="57"/>
      <c r="Q60" s="57">
        <f t="shared" si="19"/>
        <v>0</v>
      </c>
      <c r="R60" s="58">
        <f>P60/3.659</f>
        <v>0</v>
      </c>
      <c r="S60" s="13">
        <f t="shared" si="20"/>
        <v>0</v>
      </c>
      <c r="T60" s="1"/>
      <c r="U60" s="12"/>
      <c r="V60" s="13"/>
      <c r="W60" s="56"/>
      <c r="X60" s="13"/>
      <c r="Y60" s="13"/>
      <c r="Z60" s="57"/>
      <c r="AA60" s="57">
        <f t="shared" si="21"/>
        <v>0</v>
      </c>
      <c r="AB60" s="58">
        <f>Z60/3.933</f>
        <v>0</v>
      </c>
      <c r="AC60" s="13">
        <f t="shared" si="22"/>
        <v>0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7.45" customHeight="1" x14ac:dyDescent="0.2">
      <c r="A61" s="12"/>
      <c r="B61" s="13"/>
      <c r="C61" s="56"/>
      <c r="D61" s="13"/>
      <c r="E61" s="13"/>
      <c r="F61" s="53"/>
      <c r="G61" s="57">
        <f t="shared" si="17"/>
        <v>0</v>
      </c>
      <c r="H61" s="58">
        <f>F61/3.986</f>
        <v>0</v>
      </c>
      <c r="I61" s="13">
        <f t="shared" si="18"/>
        <v>0</v>
      </c>
      <c r="J61" s="5"/>
      <c r="K61" s="12"/>
      <c r="L61" s="13"/>
      <c r="M61" s="56"/>
      <c r="N61" s="13"/>
      <c r="O61" s="13"/>
      <c r="P61" s="57"/>
      <c r="Q61" s="57">
        <f t="shared" si="19"/>
        <v>0</v>
      </c>
      <c r="R61" s="58">
        <f>P61/3.743</f>
        <v>0</v>
      </c>
      <c r="S61" s="13">
        <f t="shared" si="20"/>
        <v>0</v>
      </c>
      <c r="T61" s="1"/>
      <c r="U61" s="12"/>
      <c r="V61" s="13"/>
      <c r="W61" s="62" t="s">
        <v>45</v>
      </c>
      <c r="X61" s="13"/>
      <c r="Y61" s="13"/>
      <c r="Z61" s="57"/>
      <c r="AA61" s="57">
        <f t="shared" si="21"/>
        <v>0</v>
      </c>
      <c r="AB61" s="58">
        <f>Z61/2.3</f>
        <v>0</v>
      </c>
      <c r="AC61" s="13">
        <f t="shared" si="22"/>
        <v>0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7.45" customHeight="1" x14ac:dyDescent="0.2">
      <c r="A62" s="12"/>
      <c r="B62" s="13"/>
      <c r="C62" s="56"/>
      <c r="D62" s="13"/>
      <c r="E62" s="13"/>
      <c r="F62" s="57"/>
      <c r="G62" s="57">
        <f t="shared" si="17"/>
        <v>0</v>
      </c>
      <c r="H62" s="58">
        <f>F62/3.743</f>
        <v>0</v>
      </c>
      <c r="I62" s="13">
        <f t="shared" si="18"/>
        <v>0</v>
      </c>
      <c r="J62" s="5"/>
      <c r="K62" s="12"/>
      <c r="L62" s="13"/>
      <c r="M62" s="56"/>
      <c r="N62" s="13"/>
      <c r="O62" s="13"/>
      <c r="P62" s="57"/>
      <c r="Q62" s="57">
        <f t="shared" si="19"/>
        <v>0</v>
      </c>
      <c r="R62" s="58">
        <f>P62/3.743</f>
        <v>0</v>
      </c>
      <c r="S62" s="13">
        <f t="shared" si="20"/>
        <v>0</v>
      </c>
      <c r="T62" s="1"/>
      <c r="U62" s="12"/>
      <c r="V62" s="13"/>
      <c r="W62" s="56"/>
      <c r="X62" s="13"/>
      <c r="Y62" s="13"/>
      <c r="Z62" s="57"/>
      <c r="AA62" s="57">
        <f t="shared" si="21"/>
        <v>0</v>
      </c>
      <c r="AB62" s="58">
        <f>Z62/3.743</f>
        <v>0</v>
      </c>
      <c r="AC62" s="13">
        <f t="shared" si="22"/>
        <v>0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7.45" customHeight="1" x14ac:dyDescent="0.2">
      <c r="A63" s="12"/>
      <c r="B63" s="12"/>
      <c r="C63" s="95"/>
      <c r="D63" s="12"/>
      <c r="E63" s="13"/>
      <c r="F63" s="15"/>
      <c r="G63" s="15"/>
      <c r="H63" s="67"/>
      <c r="I63" s="12"/>
      <c r="J63" s="5"/>
      <c r="K63" s="12"/>
      <c r="L63" s="13"/>
      <c r="M63" s="56"/>
      <c r="N63" s="13"/>
      <c r="O63" s="13"/>
      <c r="P63" s="57"/>
      <c r="Q63" s="57"/>
      <c r="R63" s="58"/>
      <c r="S63" s="13"/>
      <c r="T63" s="1"/>
      <c r="U63" s="12"/>
      <c r="V63" s="12"/>
      <c r="W63" s="95"/>
      <c r="X63" s="12"/>
      <c r="Y63" s="13"/>
      <c r="Z63" s="15"/>
      <c r="AA63" s="15"/>
      <c r="AB63" s="67"/>
      <c r="AC63" s="12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7.45" customHeight="1" x14ac:dyDescent="0.2">
      <c r="A64" s="65">
        <f>B52-(B53+B64)</f>
        <v>0</v>
      </c>
      <c r="B64" s="65">
        <f>SUM(B54:B63)</f>
        <v>39320</v>
      </c>
      <c r="C64" s="12"/>
      <c r="D64" s="12">
        <f>SUM(D53:D61)</f>
        <v>195</v>
      </c>
      <c r="E64" s="12"/>
      <c r="F64" s="15">
        <f>G64/B64</f>
        <v>2.9912187182095624</v>
      </c>
      <c r="G64" s="15">
        <f>SUM(G54:G63)</f>
        <v>117614.72</v>
      </c>
      <c r="H64" s="12"/>
      <c r="I64" s="12"/>
      <c r="J64" s="5"/>
      <c r="K64" s="65">
        <f>L52-(L53+L64)</f>
        <v>0</v>
      </c>
      <c r="L64" s="65">
        <f>SUM(L54:L63)</f>
        <v>38160</v>
      </c>
      <c r="M64" s="12"/>
      <c r="N64" s="12">
        <f>SUM(N53:N60)</f>
        <v>151</v>
      </c>
      <c r="O64" s="12"/>
      <c r="P64" s="15">
        <f>Q64/L64</f>
        <v>3.1216561844863731</v>
      </c>
      <c r="Q64" s="15">
        <f>SUM(Q54:Q63)</f>
        <v>119122.4</v>
      </c>
      <c r="R64" s="12"/>
      <c r="S64" s="12"/>
      <c r="T64" s="1"/>
      <c r="U64" s="65">
        <f>V52-(V53+V64)</f>
        <v>0</v>
      </c>
      <c r="V64" s="65">
        <f>SUM(V54:V63)</f>
        <v>40512</v>
      </c>
      <c r="W64" s="12"/>
      <c r="X64" s="12">
        <f>SUM(X54:X61)</f>
        <v>151</v>
      </c>
      <c r="Y64" s="12"/>
      <c r="Z64" s="15">
        <f>AA64/V64</f>
        <v>3.0746958925750394</v>
      </c>
      <c r="AA64" s="15">
        <f>SUM(AA54:AA63)</f>
        <v>124562.08</v>
      </c>
      <c r="AB64" s="12"/>
      <c r="AC64" s="12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7.45" customHeight="1" x14ac:dyDescent="0.2">
      <c r="A65" s="12"/>
      <c r="B65" s="12"/>
      <c r="C65" s="12"/>
      <c r="D65" s="12"/>
      <c r="E65" s="12"/>
      <c r="F65" s="15"/>
      <c r="G65" s="72" t="s">
        <v>40</v>
      </c>
      <c r="H65" s="12" t="s">
        <v>41</v>
      </c>
      <c r="I65" s="15">
        <f>SUM(I54:I63)/(B52-B53)</f>
        <v>40.284231943031536</v>
      </c>
      <c r="J65" s="1"/>
      <c r="K65" s="12"/>
      <c r="L65" s="12"/>
      <c r="M65" s="12"/>
      <c r="N65" s="12"/>
      <c r="O65" s="12"/>
      <c r="P65" s="15"/>
      <c r="Q65" s="72" t="s">
        <v>40</v>
      </c>
      <c r="R65" s="12" t="s">
        <v>41</v>
      </c>
      <c r="S65" s="15">
        <f>SUM(S54:S63)/(L52-L53)</f>
        <v>40.660796645702305</v>
      </c>
      <c r="T65" s="1"/>
      <c r="U65" s="12"/>
      <c r="V65" s="12"/>
      <c r="W65" s="12"/>
      <c r="X65" s="12"/>
      <c r="Y65" s="12"/>
      <c r="Z65" s="15"/>
      <c r="AA65" s="72" t="s">
        <v>40</v>
      </c>
      <c r="AB65" s="12" t="s">
        <v>41</v>
      </c>
      <c r="AC65" s="15">
        <f>SUM(AC54:AC63)/(V52-V53)</f>
        <v>40.678120063191152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7.4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7.45" customHeight="1" x14ac:dyDescent="0.2">
      <c r="A67" s="6" t="s">
        <v>52</v>
      </c>
      <c r="B67" s="7" t="s">
        <v>5</v>
      </c>
      <c r="C67" s="7" t="s">
        <v>6</v>
      </c>
      <c r="D67" s="7" t="s">
        <v>7</v>
      </c>
      <c r="E67" s="7" t="s">
        <v>8</v>
      </c>
      <c r="F67" s="8" t="s">
        <v>9</v>
      </c>
      <c r="G67" s="8" t="s">
        <v>10</v>
      </c>
      <c r="H67" s="7" t="s">
        <v>11</v>
      </c>
      <c r="I67" s="9" t="s">
        <v>12</v>
      </c>
      <c r="J67" s="11"/>
      <c r="K67" s="6" t="s">
        <v>53</v>
      </c>
      <c r="L67" s="7" t="s">
        <v>5</v>
      </c>
      <c r="M67" s="7" t="s">
        <v>6</v>
      </c>
      <c r="N67" s="7" t="s">
        <v>7</v>
      </c>
      <c r="O67" s="7" t="s">
        <v>8</v>
      </c>
      <c r="P67" s="8" t="s">
        <v>9</v>
      </c>
      <c r="Q67" s="8" t="s">
        <v>10</v>
      </c>
      <c r="R67" s="7" t="s">
        <v>11</v>
      </c>
      <c r="S67" s="9" t="s">
        <v>12</v>
      </c>
      <c r="T67" s="1"/>
      <c r="U67" s="6" t="s">
        <v>54</v>
      </c>
      <c r="V67" s="7" t="s">
        <v>5</v>
      </c>
      <c r="W67" s="7" t="s">
        <v>6</v>
      </c>
      <c r="X67" s="7" t="s">
        <v>7</v>
      </c>
      <c r="Y67" s="7" t="s">
        <v>8</v>
      </c>
      <c r="Z67" s="8" t="s">
        <v>9</v>
      </c>
      <c r="AA67" s="8" t="s">
        <v>10</v>
      </c>
      <c r="AB67" s="7" t="s">
        <v>11</v>
      </c>
      <c r="AC67" s="9" t="s">
        <v>12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7.45" customHeight="1" x14ac:dyDescent="0.2">
      <c r="A68" s="12" t="s">
        <v>15</v>
      </c>
      <c r="B68" s="12">
        <v>53700</v>
      </c>
      <c r="C68" s="12"/>
      <c r="D68" s="12"/>
      <c r="E68" s="12"/>
      <c r="F68" s="15"/>
      <c r="G68" s="15"/>
      <c r="H68" s="12"/>
      <c r="I68" s="12"/>
      <c r="J68" s="5"/>
      <c r="K68" s="12" t="s">
        <v>15</v>
      </c>
      <c r="L68" s="12">
        <v>53700</v>
      </c>
      <c r="M68" s="12"/>
      <c r="N68" s="12"/>
      <c r="O68" s="12"/>
      <c r="P68" s="15"/>
      <c r="Q68" s="15"/>
      <c r="R68" s="12"/>
      <c r="S68" s="12"/>
      <c r="T68" s="1"/>
      <c r="U68" s="12" t="s">
        <v>15</v>
      </c>
      <c r="V68" s="12">
        <v>53700</v>
      </c>
      <c r="W68" s="12"/>
      <c r="X68" s="12"/>
      <c r="Y68" s="12"/>
      <c r="Z68" s="15"/>
      <c r="AA68" s="15"/>
      <c r="AB68" s="12"/>
      <c r="AC68" s="1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7.45" customHeight="1" x14ac:dyDescent="0.2">
      <c r="A69" s="12" t="s">
        <v>19</v>
      </c>
      <c r="B69" s="21">
        <v>3460</v>
      </c>
      <c r="C69" s="81">
        <f>B69/B68</f>
        <v>6.4432029795158288E-2</v>
      </c>
      <c r="D69" s="23"/>
      <c r="E69" s="23"/>
      <c r="F69" s="24"/>
      <c r="G69" s="53"/>
      <c r="H69" s="23"/>
      <c r="I69" s="23"/>
      <c r="J69" s="5"/>
      <c r="K69" s="12" t="s">
        <v>19</v>
      </c>
      <c r="L69" s="103">
        <v>3012</v>
      </c>
      <c r="M69" s="104">
        <f>L69/L68</f>
        <v>5.6089385474860337E-2</v>
      </c>
      <c r="N69" s="26"/>
      <c r="O69" s="26"/>
      <c r="P69" s="105"/>
      <c r="Q69" s="25"/>
      <c r="R69" s="26"/>
      <c r="S69" s="26"/>
      <c r="T69" s="1"/>
      <c r="U69" s="12" t="s">
        <v>19</v>
      </c>
      <c r="V69" s="65">
        <v>796</v>
      </c>
      <c r="W69" s="30">
        <f>V69/V68</f>
        <v>1.4823091247672253E-2</v>
      </c>
      <c r="X69" s="12"/>
      <c r="Y69" s="12"/>
      <c r="Z69" s="29"/>
      <c r="AA69" s="15"/>
      <c r="AB69" s="12"/>
      <c r="AC69" s="1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7.45" customHeight="1" x14ac:dyDescent="0.2">
      <c r="A70" s="12"/>
      <c r="B70" s="150">
        <v>9504</v>
      </c>
      <c r="C70" s="151">
        <v>46076</v>
      </c>
      <c r="D70" s="150">
        <v>34</v>
      </c>
      <c r="E70" s="151" t="s">
        <v>30</v>
      </c>
      <c r="F70" s="152">
        <v>2.06</v>
      </c>
      <c r="G70" s="152">
        <f t="shared" ref="G70:G78" si="23">B70*F70</f>
        <v>19578.240000000002</v>
      </c>
      <c r="H70" s="153">
        <f>F70/2.196</f>
        <v>0.93806921675774135</v>
      </c>
      <c r="I70" s="150">
        <f t="shared" ref="I70:I78" si="24">B70*D70</f>
        <v>323136</v>
      </c>
      <c r="J70" s="5"/>
      <c r="K70" s="12"/>
      <c r="L70" s="150">
        <v>9240</v>
      </c>
      <c r="M70" s="151">
        <v>46076</v>
      </c>
      <c r="N70" s="150">
        <v>34</v>
      </c>
      <c r="O70" s="151" t="s">
        <v>30</v>
      </c>
      <c r="P70" s="152">
        <v>2.11</v>
      </c>
      <c r="Q70" s="152">
        <f t="shared" ref="Q70:Q78" si="25">L70*P70</f>
        <v>19496.399999999998</v>
      </c>
      <c r="R70" s="153">
        <f>P70/2.196</f>
        <v>0.96083788706739515</v>
      </c>
      <c r="S70" s="150">
        <f t="shared" ref="S70:S78" si="26">L70*N70</f>
        <v>314160</v>
      </c>
      <c r="T70" s="1"/>
      <c r="U70" s="106"/>
      <c r="V70" s="150">
        <v>5472</v>
      </c>
      <c r="W70" s="151">
        <v>46074</v>
      </c>
      <c r="X70" s="150">
        <v>31</v>
      </c>
      <c r="Y70" s="150" t="s">
        <v>30</v>
      </c>
      <c r="Z70" s="152">
        <v>1.84</v>
      </c>
      <c r="AA70" s="152">
        <f t="shared" ref="AA70:AA78" si="27">V70*Z70</f>
        <v>10068.48</v>
      </c>
      <c r="AB70" s="153">
        <f>Z70/1.901</f>
        <v>0.96791162546028409</v>
      </c>
      <c r="AC70" s="150">
        <f t="shared" ref="AC70:AC78" si="28">V70*X70</f>
        <v>169632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7.45" customHeight="1" x14ac:dyDescent="0.2">
      <c r="A71" s="12"/>
      <c r="B71" s="150">
        <v>10208</v>
      </c>
      <c r="C71" s="151">
        <v>46080</v>
      </c>
      <c r="D71" s="150">
        <v>38</v>
      </c>
      <c r="E71" s="150" t="s">
        <v>30</v>
      </c>
      <c r="F71" s="152">
        <v>2.4900000000000002</v>
      </c>
      <c r="G71" s="152">
        <f t="shared" si="23"/>
        <v>25417.920000000002</v>
      </c>
      <c r="H71" s="153">
        <f>F71/2.597</f>
        <v>0.95879861378513676</v>
      </c>
      <c r="I71" s="150">
        <f t="shared" si="24"/>
        <v>387904</v>
      </c>
      <c r="J71" s="5"/>
      <c r="K71" s="12"/>
      <c r="L71" s="150">
        <v>12320</v>
      </c>
      <c r="M71" s="151">
        <v>46080</v>
      </c>
      <c r="N71" s="150">
        <v>38</v>
      </c>
      <c r="O71" s="151" t="s">
        <v>30</v>
      </c>
      <c r="P71" s="152">
        <v>2.66</v>
      </c>
      <c r="Q71" s="152">
        <f t="shared" si="25"/>
        <v>32771.200000000004</v>
      </c>
      <c r="R71" s="153">
        <f>P71/2.597</f>
        <v>1.0242587601078168</v>
      </c>
      <c r="S71" s="150">
        <f t="shared" si="26"/>
        <v>468160</v>
      </c>
      <c r="T71" s="1"/>
      <c r="U71" s="12"/>
      <c r="V71" s="150">
        <v>6160</v>
      </c>
      <c r="W71" s="151">
        <v>46076</v>
      </c>
      <c r="X71" s="150">
        <v>34</v>
      </c>
      <c r="Y71" s="150" t="s">
        <v>30</v>
      </c>
      <c r="Z71" s="152">
        <v>2.09</v>
      </c>
      <c r="AA71" s="152">
        <f t="shared" si="27"/>
        <v>12874.4</v>
      </c>
      <c r="AB71" s="153">
        <f>Z71/2.196</f>
        <v>0.95173041894353361</v>
      </c>
      <c r="AC71" s="150">
        <f t="shared" si="28"/>
        <v>209440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7.45" customHeight="1" x14ac:dyDescent="0.2">
      <c r="A72" s="12"/>
      <c r="B72" s="150">
        <v>9152</v>
      </c>
      <c r="C72" s="151">
        <v>46083</v>
      </c>
      <c r="D72" s="150">
        <v>41</v>
      </c>
      <c r="E72" s="151" t="s">
        <v>30</v>
      </c>
      <c r="F72" s="152">
        <v>2.76</v>
      </c>
      <c r="G72" s="152">
        <f t="shared" si="23"/>
        <v>25259.519999999997</v>
      </c>
      <c r="H72" s="153">
        <f>F72/2.898</f>
        <v>0.95238095238095222</v>
      </c>
      <c r="I72" s="150">
        <f t="shared" si="24"/>
        <v>375232</v>
      </c>
      <c r="J72" s="5"/>
      <c r="K72" s="12"/>
      <c r="L72" s="150">
        <v>11000</v>
      </c>
      <c r="M72" s="151">
        <v>46083</v>
      </c>
      <c r="N72" s="150">
        <v>41</v>
      </c>
      <c r="O72" s="150" t="s">
        <v>30</v>
      </c>
      <c r="P72" s="152">
        <v>2.85</v>
      </c>
      <c r="Q72" s="152">
        <f t="shared" si="25"/>
        <v>31350</v>
      </c>
      <c r="R72" s="153">
        <f>P72/2.596</f>
        <v>1.0978428351309708</v>
      </c>
      <c r="S72" s="150">
        <f t="shared" si="26"/>
        <v>451000</v>
      </c>
      <c r="T72" s="1"/>
      <c r="U72" s="12"/>
      <c r="V72" s="150">
        <v>12320</v>
      </c>
      <c r="W72" s="151">
        <v>46080</v>
      </c>
      <c r="X72" s="150">
        <v>38</v>
      </c>
      <c r="Y72" s="150" t="s">
        <v>30</v>
      </c>
      <c r="Z72" s="152">
        <v>2.68</v>
      </c>
      <c r="AA72" s="152">
        <f t="shared" si="27"/>
        <v>33017.599999999999</v>
      </c>
      <c r="AB72" s="153">
        <f>Z72/2.597</f>
        <v>1.0319599537928379</v>
      </c>
      <c r="AC72" s="150">
        <f t="shared" si="28"/>
        <v>468160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7.45" customHeight="1" x14ac:dyDescent="0.2">
      <c r="A73" s="12"/>
      <c r="B73" s="150">
        <v>21376</v>
      </c>
      <c r="C73" s="151">
        <v>46086</v>
      </c>
      <c r="D73" s="150">
        <v>43</v>
      </c>
      <c r="E73" s="150" t="s">
        <v>30</v>
      </c>
      <c r="F73" s="152">
        <v>3.21</v>
      </c>
      <c r="G73" s="152">
        <f t="shared" si="23"/>
        <v>68616.960000000006</v>
      </c>
      <c r="H73" s="153">
        <f>F73/2.798</f>
        <v>1.1472480343102216</v>
      </c>
      <c r="I73" s="150">
        <f t="shared" si="24"/>
        <v>919168</v>
      </c>
      <c r="J73" s="5"/>
      <c r="K73" s="12"/>
      <c r="L73" s="140">
        <v>18128</v>
      </c>
      <c r="M73" s="141">
        <v>46086</v>
      </c>
      <c r="N73" s="140">
        <v>44</v>
      </c>
      <c r="O73" s="140" t="s">
        <v>30</v>
      </c>
      <c r="P73" s="142">
        <v>3.47</v>
      </c>
      <c r="Q73" s="142">
        <f t="shared" si="25"/>
        <v>62904.160000000003</v>
      </c>
      <c r="R73" s="143">
        <f>P73/2.596</f>
        <v>1.3366718027734976</v>
      </c>
      <c r="S73" s="140">
        <f t="shared" si="26"/>
        <v>797632</v>
      </c>
      <c r="T73" s="1"/>
      <c r="U73" s="12"/>
      <c r="V73" s="150">
        <v>11000</v>
      </c>
      <c r="W73" s="151">
        <v>46083</v>
      </c>
      <c r="X73" s="150">
        <v>41</v>
      </c>
      <c r="Y73" s="150" t="s">
        <v>30</v>
      </c>
      <c r="Z73" s="152">
        <v>2.83</v>
      </c>
      <c r="AA73" s="152">
        <f t="shared" si="27"/>
        <v>31130</v>
      </c>
      <c r="AB73" s="153">
        <f>Z73/2.998</f>
        <v>0.94396264176117406</v>
      </c>
      <c r="AC73" s="150">
        <f t="shared" si="28"/>
        <v>451000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7.45" customHeight="1" x14ac:dyDescent="0.2">
      <c r="A74" s="12"/>
      <c r="B74" s="183"/>
      <c r="C74" s="184"/>
      <c r="D74" s="183"/>
      <c r="E74" s="183"/>
      <c r="F74" s="185"/>
      <c r="G74" s="185">
        <f t="shared" si="23"/>
        <v>0</v>
      </c>
      <c r="H74" s="186">
        <f>F74/3.681</f>
        <v>0</v>
      </c>
      <c r="I74" s="183">
        <f t="shared" si="24"/>
        <v>0</v>
      </c>
      <c r="J74" s="5"/>
      <c r="K74" s="12"/>
      <c r="L74" s="158"/>
      <c r="M74" s="159"/>
      <c r="N74" s="158"/>
      <c r="O74" s="158"/>
      <c r="P74" s="160"/>
      <c r="Q74" s="160">
        <f t="shared" si="25"/>
        <v>0</v>
      </c>
      <c r="R74" s="161">
        <f>P74/3.43</f>
        <v>0</v>
      </c>
      <c r="S74" s="158">
        <f t="shared" si="26"/>
        <v>0</v>
      </c>
      <c r="T74" s="1"/>
      <c r="U74" s="12"/>
      <c r="V74" s="179">
        <v>5280</v>
      </c>
      <c r="W74" s="180">
        <v>46086</v>
      </c>
      <c r="X74" s="179">
        <v>44</v>
      </c>
      <c r="Y74" s="179" t="s">
        <v>30</v>
      </c>
      <c r="Z74" s="187">
        <v>3.09</v>
      </c>
      <c r="AA74" s="181">
        <f t="shared" si="27"/>
        <v>16315.199999999999</v>
      </c>
      <c r="AB74" s="182">
        <f>Z74/3.197</f>
        <v>0.96653112292774468</v>
      </c>
      <c r="AC74" s="179">
        <f t="shared" si="28"/>
        <v>232320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7.45" customHeight="1" x14ac:dyDescent="0.2">
      <c r="A75" s="12"/>
      <c r="B75" s="154"/>
      <c r="C75" s="155"/>
      <c r="D75" s="154"/>
      <c r="E75" s="154"/>
      <c r="F75" s="156"/>
      <c r="G75" s="156">
        <f t="shared" si="23"/>
        <v>0</v>
      </c>
      <c r="H75" s="157">
        <f>F75/3.973</f>
        <v>0</v>
      </c>
      <c r="I75" s="154">
        <f t="shared" si="24"/>
        <v>0</v>
      </c>
      <c r="J75" s="5"/>
      <c r="K75" s="12"/>
      <c r="L75" s="154"/>
      <c r="M75" s="155"/>
      <c r="N75" s="154"/>
      <c r="O75" s="154"/>
      <c r="P75" s="156"/>
      <c r="Q75" s="156">
        <f t="shared" si="25"/>
        <v>0</v>
      </c>
      <c r="R75" s="157">
        <f>P75/3.669</f>
        <v>0</v>
      </c>
      <c r="S75" s="154">
        <f t="shared" si="26"/>
        <v>0</v>
      </c>
      <c r="T75" s="1"/>
      <c r="U75" s="12"/>
      <c r="V75" s="150">
        <v>12672</v>
      </c>
      <c r="W75" s="151">
        <v>46086</v>
      </c>
      <c r="X75" s="150">
        <v>44</v>
      </c>
      <c r="Y75" s="150" t="s">
        <v>30</v>
      </c>
      <c r="Z75" s="152">
        <v>3.28</v>
      </c>
      <c r="AA75" s="152">
        <f t="shared" si="27"/>
        <v>41564.159999999996</v>
      </c>
      <c r="AB75" s="153">
        <f>Z75/3.24</f>
        <v>1.0123456790123455</v>
      </c>
      <c r="AC75" s="150">
        <f t="shared" si="28"/>
        <v>557568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7.45" customHeight="1" x14ac:dyDescent="0.2">
      <c r="A76" s="12"/>
      <c r="B76" s="170"/>
      <c r="C76" s="171"/>
      <c r="D76" s="170"/>
      <c r="E76" s="170"/>
      <c r="F76" s="156"/>
      <c r="G76" s="172">
        <f t="shared" si="23"/>
        <v>0</v>
      </c>
      <c r="H76" s="173">
        <f>F76/3.986</f>
        <v>0</v>
      </c>
      <c r="I76" s="170">
        <f t="shared" si="24"/>
        <v>0</v>
      </c>
      <c r="J76" s="5"/>
      <c r="K76" s="12"/>
      <c r="L76" s="13"/>
      <c r="M76" s="62"/>
      <c r="N76" s="13"/>
      <c r="O76" s="13"/>
      <c r="P76" s="57"/>
      <c r="Q76" s="57">
        <f t="shared" si="25"/>
        <v>0</v>
      </c>
      <c r="R76" s="58">
        <f>P76/3.659</f>
        <v>0</v>
      </c>
      <c r="S76" s="13">
        <f t="shared" si="26"/>
        <v>0</v>
      </c>
      <c r="T76" s="1"/>
      <c r="U76" s="12"/>
      <c r="V76" s="13"/>
      <c r="W76" s="56"/>
      <c r="X76" s="13"/>
      <c r="Y76" s="13"/>
      <c r="Z76" s="57"/>
      <c r="AA76" s="57">
        <f t="shared" si="27"/>
        <v>0</v>
      </c>
      <c r="AB76" s="58">
        <f>Z76/3.933</f>
        <v>0</v>
      </c>
      <c r="AC76" s="13">
        <f t="shared" si="28"/>
        <v>0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7.45" customHeight="1" x14ac:dyDescent="0.2">
      <c r="A77" s="12"/>
      <c r="B77" s="13"/>
      <c r="C77" s="56"/>
      <c r="D77" s="13"/>
      <c r="E77" s="13"/>
      <c r="F77" s="53"/>
      <c r="G77" s="57">
        <f t="shared" si="23"/>
        <v>0</v>
      </c>
      <c r="H77" s="58">
        <f>F77/3.986</f>
        <v>0</v>
      </c>
      <c r="I77" s="13">
        <f t="shared" si="24"/>
        <v>0</v>
      </c>
      <c r="J77" s="5"/>
      <c r="K77" s="12"/>
      <c r="L77" s="13"/>
      <c r="M77" s="56"/>
      <c r="N77" s="13"/>
      <c r="O77" s="13"/>
      <c r="P77" s="57"/>
      <c r="Q77" s="57">
        <f t="shared" si="25"/>
        <v>0</v>
      </c>
      <c r="R77" s="58">
        <f>P77/3.743</f>
        <v>0</v>
      </c>
      <c r="S77" s="13">
        <f t="shared" si="26"/>
        <v>0</v>
      </c>
      <c r="T77" s="1"/>
      <c r="U77" s="12"/>
      <c r="V77" s="13"/>
      <c r="W77" s="62" t="s">
        <v>45</v>
      </c>
      <c r="X77" s="13"/>
      <c r="Y77" s="13"/>
      <c r="Z77" s="57"/>
      <c r="AA77" s="57">
        <f t="shared" si="27"/>
        <v>0</v>
      </c>
      <c r="AB77" s="58">
        <f>Z77/2.3</f>
        <v>0</v>
      </c>
      <c r="AC77" s="13">
        <f t="shared" si="28"/>
        <v>0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7.45" customHeight="1" x14ac:dyDescent="0.2">
      <c r="A78" s="12"/>
      <c r="B78" s="13"/>
      <c r="C78" s="56"/>
      <c r="D78" s="13"/>
      <c r="E78" s="13"/>
      <c r="F78" s="57"/>
      <c r="G78" s="57">
        <f t="shared" si="23"/>
        <v>0</v>
      </c>
      <c r="H78" s="58">
        <f>F78/3.743</f>
        <v>0</v>
      </c>
      <c r="I78" s="13">
        <f t="shared" si="24"/>
        <v>0</v>
      </c>
      <c r="J78" s="5"/>
      <c r="K78" s="12"/>
      <c r="L78" s="13"/>
      <c r="M78" s="56"/>
      <c r="N78" s="13"/>
      <c r="O78" s="13"/>
      <c r="P78" s="57"/>
      <c r="Q78" s="57">
        <f t="shared" si="25"/>
        <v>0</v>
      </c>
      <c r="R78" s="58">
        <f>P78/3.743</f>
        <v>0</v>
      </c>
      <c r="S78" s="13">
        <f t="shared" si="26"/>
        <v>0</v>
      </c>
      <c r="T78" s="1"/>
      <c r="U78" s="12"/>
      <c r="V78" s="13"/>
      <c r="W78" s="56"/>
      <c r="X78" s="13"/>
      <c r="Y78" s="13"/>
      <c r="Z78" s="57"/>
      <c r="AA78" s="57">
        <f t="shared" si="27"/>
        <v>0</v>
      </c>
      <c r="AB78" s="58">
        <f>Z78/3.743</f>
        <v>0</v>
      </c>
      <c r="AC78" s="13">
        <f t="shared" si="28"/>
        <v>0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7.45" customHeight="1" x14ac:dyDescent="0.2">
      <c r="A79" s="12"/>
      <c r="B79" s="12"/>
      <c r="C79" s="95"/>
      <c r="D79" s="12"/>
      <c r="E79" s="13" t="s">
        <v>45</v>
      </c>
      <c r="F79" s="15"/>
      <c r="G79" s="15"/>
      <c r="H79" s="67"/>
      <c r="I79" s="12"/>
      <c r="J79" s="5"/>
      <c r="K79" s="12"/>
      <c r="L79" s="13"/>
      <c r="M79" s="56"/>
      <c r="N79" s="13"/>
      <c r="O79" s="13"/>
      <c r="P79" s="57"/>
      <c r="Q79" s="57"/>
      <c r="R79" s="58"/>
      <c r="S79" s="13"/>
      <c r="T79" s="1"/>
      <c r="U79" s="12"/>
      <c r="V79" s="12"/>
      <c r="W79" s="95"/>
      <c r="X79" s="12"/>
      <c r="Y79" s="13"/>
      <c r="Z79" s="15"/>
      <c r="AA79" s="15"/>
      <c r="AB79" s="67"/>
      <c r="AC79" s="1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7.45" customHeight="1" x14ac:dyDescent="0.2">
      <c r="A80" s="65">
        <f>B68-(B69+B80)</f>
        <v>0</v>
      </c>
      <c r="B80" s="65">
        <f>SUM(B70:B79)</f>
        <v>50240</v>
      </c>
      <c r="C80" s="12"/>
      <c r="D80" s="12">
        <f>SUM(D69:D77)</f>
        <v>156</v>
      </c>
      <c r="E80" s="12"/>
      <c r="F80" s="15">
        <f>G80/B80</f>
        <v>2.7641847133757964</v>
      </c>
      <c r="G80" s="15">
        <f>SUM(G70:G79)</f>
        <v>138872.64000000001</v>
      </c>
      <c r="H80" s="12"/>
      <c r="I80" s="12"/>
      <c r="J80" s="5"/>
      <c r="K80" s="65">
        <f>L68-(L69+L80)</f>
        <v>0</v>
      </c>
      <c r="L80" s="65">
        <f>SUM(L70:L79)</f>
        <v>50688</v>
      </c>
      <c r="M80" s="12"/>
      <c r="N80" s="12">
        <f>SUM(N69:N76)</f>
        <v>157</v>
      </c>
      <c r="O80" s="12"/>
      <c r="P80" s="15">
        <f>Q80/L80</f>
        <v>2.8906597222222223</v>
      </c>
      <c r="Q80" s="15">
        <f>SUM(Q70:Q79)</f>
        <v>146521.76</v>
      </c>
      <c r="R80" s="12"/>
      <c r="S80" s="12"/>
      <c r="T80" s="1"/>
      <c r="U80" s="65">
        <f>V68-(V69+V80)</f>
        <v>0</v>
      </c>
      <c r="V80" s="65">
        <f>SUM(V70:V79)</f>
        <v>52904</v>
      </c>
      <c r="W80" s="12"/>
      <c r="X80" s="12">
        <f>SUM(X70:X77)</f>
        <v>232</v>
      </c>
      <c r="Y80" s="12"/>
      <c r="Z80" s="15">
        <f>AA80/V80</f>
        <v>2.7402434598518068</v>
      </c>
      <c r="AA80" s="15">
        <f>SUM(AA70:AA79)</f>
        <v>144969.84</v>
      </c>
      <c r="AB80" s="12"/>
      <c r="AC80" s="1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7.45" customHeight="1" x14ac:dyDescent="0.2">
      <c r="A81" s="12"/>
      <c r="B81" s="12"/>
      <c r="C81" s="12"/>
      <c r="D81" s="12"/>
      <c r="E81" s="12"/>
      <c r="F81" s="15"/>
      <c r="G81" s="72" t="s">
        <v>40</v>
      </c>
      <c r="H81" s="12" t="s">
        <v>41</v>
      </c>
      <c r="I81" s="15">
        <f>SUM(I70:I79)/(B68-B69)</f>
        <v>39.917197452229303</v>
      </c>
      <c r="J81" s="1"/>
      <c r="K81" s="12"/>
      <c r="L81" s="12"/>
      <c r="M81" s="12"/>
      <c r="N81" s="12"/>
      <c r="O81" s="12"/>
      <c r="P81" s="15"/>
      <c r="Q81" s="72" t="s">
        <v>40</v>
      </c>
      <c r="R81" s="12" t="s">
        <v>41</v>
      </c>
      <c r="S81" s="15">
        <f>SUM(S70:S79)/(L68-L69)</f>
        <v>40.067708333333336</v>
      </c>
      <c r="T81" s="1"/>
      <c r="U81" s="12"/>
      <c r="V81" s="12"/>
      <c r="W81" s="12"/>
      <c r="X81" s="12"/>
      <c r="Y81" s="12"/>
      <c r="Z81" s="15"/>
      <c r="AA81" s="72" t="s">
        <v>40</v>
      </c>
      <c r="AB81" s="12" t="s">
        <v>41</v>
      </c>
      <c r="AC81" s="15">
        <f>SUM(AC70:AC79)/(V68-V69)</f>
        <v>39.469983366097082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7.4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7.45" customHeight="1" x14ac:dyDescent="0.2">
      <c r="A83" s="6" t="s">
        <v>55</v>
      </c>
      <c r="B83" s="7" t="s">
        <v>5</v>
      </c>
      <c r="C83" s="7" t="s">
        <v>6</v>
      </c>
      <c r="D83" s="7" t="s">
        <v>7</v>
      </c>
      <c r="E83" s="7" t="s">
        <v>8</v>
      </c>
      <c r="F83" s="8" t="s">
        <v>9</v>
      </c>
      <c r="G83" s="8" t="s">
        <v>10</v>
      </c>
      <c r="H83" s="7" t="s">
        <v>11</v>
      </c>
      <c r="I83" s="9" t="s">
        <v>12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7.45" customHeight="1" x14ac:dyDescent="0.2">
      <c r="A84" s="12" t="s">
        <v>15</v>
      </c>
      <c r="B84" s="12">
        <v>54200</v>
      </c>
      <c r="C84" s="12"/>
      <c r="D84" s="12"/>
      <c r="E84" s="12"/>
      <c r="F84" s="15"/>
      <c r="G84" s="15"/>
      <c r="H84" s="12"/>
      <c r="I84" s="1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7.45" customHeight="1" x14ac:dyDescent="0.2">
      <c r="A85" s="12" t="s">
        <v>19</v>
      </c>
      <c r="B85" s="27">
        <v>5080</v>
      </c>
      <c r="C85" s="101">
        <f>B85/B84</f>
        <v>9.3726937269372687E-2</v>
      </c>
      <c r="D85" s="13"/>
      <c r="E85" s="13"/>
      <c r="F85" s="58"/>
      <c r="G85" s="57"/>
      <c r="H85" s="13"/>
      <c r="I85" s="1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7.45" customHeight="1" x14ac:dyDescent="0.2">
      <c r="A86" s="12"/>
      <c r="B86" s="150">
        <v>5472</v>
      </c>
      <c r="C86" s="151">
        <v>46074</v>
      </c>
      <c r="D86" s="150">
        <v>31</v>
      </c>
      <c r="E86" s="151" t="s">
        <v>30</v>
      </c>
      <c r="F86" s="152">
        <v>1.95</v>
      </c>
      <c r="G86" s="152">
        <f t="shared" ref="G86:G94" si="29">B86*F86</f>
        <v>10670.4</v>
      </c>
      <c r="H86" s="153">
        <f>F86/1.905</f>
        <v>1.0236220472440944</v>
      </c>
      <c r="I86" s="150">
        <f t="shared" ref="I86:I94" si="30">B86*D86</f>
        <v>169632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7.45" customHeight="1" x14ac:dyDescent="0.2">
      <c r="A87" s="12"/>
      <c r="B87" s="150">
        <v>5984</v>
      </c>
      <c r="C87" s="151">
        <v>46076</v>
      </c>
      <c r="D87" s="150">
        <v>34</v>
      </c>
      <c r="E87" s="151" t="s">
        <v>30</v>
      </c>
      <c r="F87" s="152">
        <v>2.17</v>
      </c>
      <c r="G87" s="152">
        <f t="shared" si="29"/>
        <v>12985.279999999999</v>
      </c>
      <c r="H87" s="153">
        <f>F87/2.196</f>
        <v>0.98816029143897988</v>
      </c>
      <c r="I87" s="150">
        <f t="shared" si="30"/>
        <v>203456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7.45" customHeight="1" x14ac:dyDescent="0.2">
      <c r="A88" s="12"/>
      <c r="B88" s="150">
        <v>10912</v>
      </c>
      <c r="C88" s="151">
        <v>46079</v>
      </c>
      <c r="D88" s="150">
        <v>37</v>
      </c>
      <c r="E88" s="150" t="s">
        <v>30</v>
      </c>
      <c r="F88" s="152">
        <v>2.5099999999999998</v>
      </c>
      <c r="G88" s="152">
        <f t="shared" si="29"/>
        <v>27389.119999999999</v>
      </c>
      <c r="H88" s="153">
        <f>F88/2.496</f>
        <v>1.0056089743589742</v>
      </c>
      <c r="I88" s="150">
        <f t="shared" si="30"/>
        <v>403744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7.45" customHeight="1" x14ac:dyDescent="0.2">
      <c r="A89" s="12"/>
      <c r="B89" s="166">
        <v>4576</v>
      </c>
      <c r="C89" s="167">
        <v>46083</v>
      </c>
      <c r="D89" s="166">
        <v>41</v>
      </c>
      <c r="E89" s="166" t="s">
        <v>30</v>
      </c>
      <c r="F89" s="168">
        <v>3.01</v>
      </c>
      <c r="G89" s="168">
        <f>B89*F89</f>
        <v>13773.759999999998</v>
      </c>
      <c r="H89" s="169">
        <f>F89/2.998</f>
        <v>1.0040026684456302</v>
      </c>
      <c r="I89" s="166">
        <f t="shared" si="30"/>
        <v>187616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7.45" customHeight="1" x14ac:dyDescent="0.2">
      <c r="A90" s="12"/>
      <c r="B90" s="154">
        <v>22176</v>
      </c>
      <c r="C90" s="155">
        <v>46086</v>
      </c>
      <c r="D90" s="154">
        <v>44</v>
      </c>
      <c r="E90" s="154" t="s">
        <v>30</v>
      </c>
      <c r="F90" s="156">
        <v>3.3</v>
      </c>
      <c r="G90" s="156">
        <f t="shared" si="29"/>
        <v>73180.800000000003</v>
      </c>
      <c r="H90" s="157">
        <f>F90/4.059</f>
        <v>0.81300813008130068</v>
      </c>
      <c r="I90" s="154">
        <f t="shared" si="30"/>
        <v>975744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7.45" customHeight="1" x14ac:dyDescent="0.2">
      <c r="A91" s="12"/>
      <c r="B91" s="162"/>
      <c r="C91" s="163"/>
      <c r="D91" s="162"/>
      <c r="E91" s="162"/>
      <c r="F91" s="164"/>
      <c r="G91" s="164">
        <f t="shared" si="29"/>
        <v>0</v>
      </c>
      <c r="H91" s="165">
        <f>F91/4.227</f>
        <v>0</v>
      </c>
      <c r="I91" s="162">
        <f t="shared" si="30"/>
        <v>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7.45" customHeight="1" x14ac:dyDescent="0.2">
      <c r="A92" s="12"/>
      <c r="B92" s="13"/>
      <c r="C92" s="56"/>
      <c r="D92" s="13"/>
      <c r="E92" s="13"/>
      <c r="F92" s="57"/>
      <c r="G92" s="57">
        <f t="shared" si="29"/>
        <v>0</v>
      </c>
      <c r="H92" s="58">
        <f>F92/3.986</f>
        <v>0</v>
      </c>
      <c r="I92" s="13">
        <f t="shared" si="30"/>
        <v>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7.45" customHeight="1" x14ac:dyDescent="0.2">
      <c r="A93" s="12"/>
      <c r="B93" s="13"/>
      <c r="C93" s="56"/>
      <c r="D93" s="13"/>
      <c r="E93" s="13"/>
      <c r="F93" s="53"/>
      <c r="G93" s="57">
        <f t="shared" si="29"/>
        <v>0</v>
      </c>
      <c r="H93" s="58">
        <f>F93/3.986</f>
        <v>0</v>
      </c>
      <c r="I93" s="13">
        <f t="shared" si="30"/>
        <v>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7.45" customHeight="1" x14ac:dyDescent="0.2">
      <c r="A94" s="12"/>
      <c r="B94" s="13"/>
      <c r="C94" s="56"/>
      <c r="D94" s="13"/>
      <c r="E94" s="13"/>
      <c r="F94" s="57"/>
      <c r="G94" s="57">
        <f t="shared" si="29"/>
        <v>0</v>
      </c>
      <c r="H94" s="58">
        <f>F94/3.743</f>
        <v>0</v>
      </c>
      <c r="I94" s="13">
        <f t="shared" si="30"/>
        <v>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7.45" customHeight="1" x14ac:dyDescent="0.2">
      <c r="A95" s="12"/>
      <c r="B95" s="12"/>
      <c r="C95" s="95"/>
      <c r="D95" s="12"/>
      <c r="E95" s="13"/>
      <c r="F95" s="15"/>
      <c r="G95" s="15"/>
      <c r="H95" s="67"/>
      <c r="I95" s="1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7.45" customHeight="1" x14ac:dyDescent="0.2">
      <c r="A96" s="65">
        <f>B84-(B85+B96)</f>
        <v>0</v>
      </c>
      <c r="B96" s="65">
        <f>SUM(B86:B95)</f>
        <v>49120</v>
      </c>
      <c r="C96" s="12"/>
      <c r="D96" s="12">
        <f>SUM(D85:D93)</f>
        <v>187</v>
      </c>
      <c r="E96" s="12"/>
      <c r="F96" s="15">
        <f>G96/B96</f>
        <v>2.8094332247557001</v>
      </c>
      <c r="G96" s="15">
        <f>SUM(G86:G95)</f>
        <v>137999.35999999999</v>
      </c>
      <c r="H96" s="12"/>
      <c r="I96" s="1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7.45" customHeight="1" x14ac:dyDescent="0.2">
      <c r="A97" s="68"/>
      <c r="B97" s="69"/>
      <c r="C97" s="69"/>
      <c r="D97" s="69"/>
      <c r="E97" s="69"/>
      <c r="F97" s="73"/>
      <c r="G97" s="74" t="s">
        <v>40</v>
      </c>
      <c r="H97" s="69" t="s">
        <v>41</v>
      </c>
      <c r="I97" s="75">
        <f>SUM(I86:I95)/(B84-B85)</f>
        <v>39.499022801302928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7.4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7.4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7.4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17.4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ht="17.4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ht="17.4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ht="17.4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ht="17.4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ht="17.4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17.4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17.4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ht="17.4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ht="17.4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ht="17.4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ht="17.4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17.4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17.4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17.4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17.4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17.4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17.4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17.4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17.4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17.4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17.4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17.4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17.4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17.4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7.4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7.4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7.4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7.4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17.4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7.4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7.4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17.4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17.4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17.4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17.4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17.4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17.4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17.4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17.4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17.4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17.4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17.4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17.4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17.4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17.4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17.4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17.4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7.4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17.4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17.4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17.4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17.4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17.4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17.4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17.4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17.4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17.4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17.4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17.4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17.4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17.4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17.4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17.4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7.4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7.4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7.4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7.4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17.4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17.4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17.4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17.4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17.4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17.4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17.4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17.4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17.4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17.4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17.4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17.4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17.4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17.4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17.4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17.4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17.4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17.4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17.4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17.4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17.4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17.4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17.4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17.4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17.4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17.4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17.4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17.4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17.4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17.4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17.4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17.4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17.4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17.4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17.4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17.4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17.4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17.4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17.4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17.4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17.4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17.4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17.4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17.4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17.4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17.4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17.4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ht="17.4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ht="17.4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ht="17.4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17.4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17.4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17.4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17.4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17.4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17.4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17.4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17.4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17.4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17.4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17.4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7.4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17.4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17.4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17.4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17.4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17.4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17.4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ht="17.4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ht="17.4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ht="17.4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ht="17.4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ht="17.4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ht="17.4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ht="17.4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ht="17.4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ht="17.4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ht="17.4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ht="17.4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ht="17.4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ht="17.4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ht="17.4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ht="17.4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ht="17.4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ht="17.4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ht="17.4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ht="17.4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ht="17.4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ht="17.4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ht="17.4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ht="17.4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ht="17.4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ht="17.4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ht="17.4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ht="17.4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ht="17.4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ht="17.4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ht="17.4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ht="17.4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ht="17.4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ht="17.4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ht="17.4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ht="17.4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ht="17.4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ht="17.4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ht="17.4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ht="17.4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ht="17.4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ht="17.4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ht="17.4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ht="17.4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ht="17.4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ht="17.4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ht="17.4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ht="17.4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ht="17.4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ht="17.4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ht="17.4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ht="17.4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ht="17.4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ht="17.4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ht="17.4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ht="17.4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ht="17.4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ht="17.4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ht="17.4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ht="17.4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ht="17.4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ht="17.4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ht="17.4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ht="17.4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ht="17.4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ht="17.4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ht="17.4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ht="17.4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ht="17.4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ht="17.4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ht="17.4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ht="17.4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ht="17.4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ht="17.4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ht="17.4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ht="17.4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ht="17.4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ht="17.4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ht="17.4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ht="17.4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ht="17.4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ht="17.4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ht="17.4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ht="17.4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ht="17.4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ht="17.4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ht="17.4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ht="17.4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ht="17.4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 ht="17.4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 ht="17.4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 ht="17.4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ht="17.4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ht="17.4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ht="17.4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ht="17.4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ht="17.4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ht="17.4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ht="17.4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ht="17.4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ht="17.4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 ht="17.4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ht="17.4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 ht="17.4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ht="17.4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ht="17.4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ht="17.4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ht="17.4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ht="17.4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 ht="17.4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ht="17.4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 ht="17.4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 ht="17.4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 ht="17.4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 ht="17.4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 ht="17.4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ht="17.4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ht="17.4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 ht="17.4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 ht="17.4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 ht="17.4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ht="17.4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ht="17.4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ht="17.4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ht="17.4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 ht="17.4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ht="17.4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 ht="17.4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 ht="17.4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 ht="17.4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 ht="17.4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 ht="17.4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 ht="17.4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 ht="17.4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 ht="17.4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 ht="17.4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 ht="17.4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 ht="17.4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 ht="17.4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 ht="17.4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 ht="17.4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 ht="17.4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 ht="17.4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 ht="17.4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 ht="17.4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 ht="17.4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 ht="17.4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 ht="17.4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 ht="17.4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 ht="17.4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 ht="17.4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 ht="17.4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 ht="17.4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 ht="17.4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 ht="17.4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 ht="17.4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 ht="17.4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 ht="17.4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 ht="17.4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 ht="17.4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 ht="17.4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 ht="17.4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 ht="17.4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ht="17.4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 ht="17.4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 ht="17.4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ht="17.4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:40" ht="17.4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ht="17.4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ht="17.4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ht="17.4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:40" ht="17.4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:40" ht="17.4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ht="17.4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ht="17.4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ht="17.4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:40" ht="17.4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ht="17.4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:40" ht="17.4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ht="17.4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:40" ht="17.4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:40" ht="17.4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:40" ht="17.4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:40" ht="17.4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:40" ht="17.4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:40" ht="17.4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:40" ht="17.4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ht="17.4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ht="17.4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:40" ht="17.4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:40" ht="17.4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:40" ht="17.4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:40" ht="17.4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:40" ht="17.4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:40" ht="17.4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:40" ht="17.4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:40" ht="17.4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:40" ht="17.4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:40" ht="17.4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:40" ht="17.4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:40" ht="17.4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:40" ht="17.4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:40" ht="17.4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:40" ht="17.4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:40" ht="17.4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:40" ht="17.4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:40" ht="17.4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:40" ht="17.4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:40" ht="17.4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:40" ht="17.4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:40" ht="17.4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:40" ht="17.4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:40" ht="17.4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:40" ht="17.4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:40" ht="17.4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:40" ht="17.4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:40" ht="17.4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:40" ht="17.4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:40" ht="17.4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:40" ht="17.4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:40" ht="17.4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:40" ht="17.4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ht="17.4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:40" ht="17.4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:40" ht="17.4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:40" ht="17.4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:40" ht="17.4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ht="17.4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:40" ht="17.4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:40" ht="17.4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:40" ht="17.4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:40" ht="17.4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:40" ht="17.4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:40" ht="17.4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:40" ht="17.4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:40" ht="17.4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:40" ht="17.4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:40" ht="17.4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:40" ht="17.4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:40" ht="17.4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:40" ht="17.4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:40" ht="17.4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:40" ht="17.4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:40" ht="17.4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:40" ht="17.4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:40" ht="17.4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:40" ht="17.4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ht="17.4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:40" ht="17.4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:40" ht="17.4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ht="17.4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:40" ht="17.4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:40" ht="17.4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:40" ht="17.4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:40" ht="17.4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:40" ht="17.4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:40" ht="17.4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:40" ht="17.4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:40" ht="17.4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:40" ht="17.4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ht="17.4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:40" ht="17.4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:40" ht="17.4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1:40" ht="17.4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spans="1:40" ht="17.4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spans="1:40" ht="17.4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spans="1:40" ht="17.4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spans="1:40" ht="17.4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spans="1:40" ht="17.4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spans="1:40" ht="17.4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spans="1:40" ht="17.4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spans="1:40" ht="17.4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spans="1:40" ht="17.4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spans="1:40" ht="17.4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spans="1:40" ht="17.4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spans="1:40" ht="17.4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spans="1:40" ht="17.4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spans="1:40" ht="17.4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spans="1:40" ht="17.4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spans="1:40" ht="17.4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spans="1:40" ht="17.4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spans="1:40" ht="17.4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spans="1:40" ht="17.4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spans="1:40" ht="17.4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spans="1:40" ht="17.4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spans="1:40" ht="17.4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spans="1:40" ht="17.4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spans="1:40" ht="17.4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spans="1:40" ht="17.4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spans="1:40" ht="17.4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spans="1:40" ht="17.4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spans="1:40" ht="17.4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spans="1:40" ht="17.4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spans="1:40" ht="17.4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spans="1:40" ht="17.4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spans="1:40" ht="17.4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spans="1:40" ht="17.4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spans="1:40" ht="17.4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spans="1:40" ht="17.4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spans="1:40" ht="17.4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spans="1:40" ht="17.4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spans="1:40" ht="17.4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spans="1:40" ht="17.4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spans="1:40" ht="17.4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spans="1:40" ht="17.4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spans="1:40" ht="17.4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spans="1:40" ht="17.4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spans="1:40" ht="17.4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spans="1:40" ht="17.4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spans="1:40" ht="17.4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spans="1:40" ht="17.4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spans="1:40" ht="17.4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spans="1:40" ht="17.4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spans="1:40" ht="17.4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spans="1:40" ht="17.4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spans="1:40" ht="17.4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spans="1:40" ht="17.4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spans="1:40" ht="17.4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spans="1:40" ht="17.4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spans="1:40" ht="17.4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spans="1:40" ht="17.4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spans="1:40" ht="17.4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spans="1:40" ht="17.4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spans="1:40" ht="17.4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spans="1:40" ht="17.4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spans="1:40" ht="17.4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spans="1:40" ht="17.4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spans="1:40" ht="17.4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spans="1:40" ht="17.4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spans="1:40" ht="17.4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spans="1:40" ht="17.4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spans="1:40" ht="17.4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spans="1:40" ht="17.4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spans="1:40" ht="17.4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spans="1:40" ht="17.4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spans="1:40" ht="17.4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spans="1:40" ht="17.4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spans="1:40" ht="17.4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spans="1:40" ht="17.4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spans="1:40" ht="17.4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spans="1:40" ht="17.4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spans="1:40" ht="17.4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spans="1:40" ht="17.4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spans="1:40" ht="17.4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spans="1:40" ht="17.4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spans="1:40" ht="17.4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spans="1:40" ht="17.4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spans="1:40" ht="17.4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spans="1:40" ht="17.4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spans="1:40" ht="17.4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spans="1:40" ht="17.4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spans="1:40" ht="17.4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spans="1:40" ht="17.4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spans="1:40" ht="17.4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spans="1:40" ht="17.4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spans="1:40" ht="17.4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spans="1:40" ht="17.4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spans="1:40" ht="17.4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spans="1:40" ht="17.4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spans="1:40" ht="17.4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spans="1:40" ht="17.4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spans="1:40" ht="17.4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spans="1:40" ht="17.4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spans="1:40" ht="17.4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spans="1:40" ht="17.4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spans="1:40" ht="17.4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spans="1:40" ht="17.4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spans="1:40" ht="17.4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spans="1:40" ht="17.4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spans="1:40" ht="17.4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spans="1:40" ht="17.4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spans="1:40" ht="17.4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spans="1:40" ht="17.4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spans="1:40" ht="17.4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spans="1:40" ht="17.4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spans="1:40" ht="17.4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spans="1:40" ht="17.4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spans="1:40" ht="17.4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spans="1:40" ht="17.4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spans="1:40" ht="17.4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spans="1:40" ht="17.4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spans="1:40" ht="17.4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spans="1:40" ht="17.4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spans="1:40" ht="17.4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spans="1:40" ht="17.4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spans="1:40" ht="17.4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spans="1:40" ht="17.4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spans="1:40" ht="17.4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spans="1:40" ht="17.4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spans="1:40" ht="17.4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spans="1:40" ht="17.4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spans="1:40" ht="17.4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spans="1:40" ht="17.4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spans="1:40" ht="17.4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spans="1:40" ht="17.4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spans="1:40" ht="17.4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spans="1:40" ht="17.4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spans="1:40" ht="17.4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spans="1:40" ht="17.4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spans="1:40" ht="17.4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spans="1:40" ht="17.4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spans="1:40" ht="17.4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spans="1:40" ht="17.4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spans="1:40" ht="17.4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spans="1:40" ht="17.4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spans="1:40" ht="17.4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spans="1:40" ht="17.4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spans="1:40" ht="17.4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spans="1:40" ht="17.4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spans="1:40" ht="17.4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spans="1:40" ht="17.4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spans="1:40" ht="17.4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spans="1:40" ht="17.4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spans="1:40" ht="17.4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spans="1:40" ht="17.4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spans="1:40" ht="17.4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spans="1:40" ht="17.4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spans="1:40" ht="17.4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spans="1:40" ht="17.4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spans="1:40" ht="17.4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spans="1:40" ht="17.4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spans="1:40" ht="17.4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spans="1:40" ht="17.4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spans="1:40" ht="17.4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spans="1:40" ht="17.4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spans="1:40" ht="17.4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spans="1:40" ht="17.4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spans="1:40" ht="17.4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spans="1:40" ht="17.4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spans="1:40" ht="17.4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spans="1:40" ht="17.4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spans="1:40" ht="17.4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spans="1:40" ht="17.4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spans="1:40" ht="17.4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spans="1:40" ht="17.4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spans="1:40" ht="17.4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spans="1:40" ht="17.4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spans="1:40" ht="17.4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spans="1:40" ht="17.4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spans="1:40" ht="17.4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spans="1:40" ht="17.4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spans="1:40" ht="17.4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spans="1:40" ht="17.4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spans="1:40" ht="17.4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spans="1:40" ht="17.4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spans="1:40" ht="17.4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spans="1:40" ht="17.4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spans="1:40" ht="17.4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spans="1:40" ht="17.4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spans="1:40" ht="17.4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spans="1:40" ht="17.4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spans="1:40" ht="17.4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spans="1:40" ht="17.4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spans="1:40" ht="17.4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spans="1:40" ht="17.4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spans="1:40" ht="17.4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spans="1:40" ht="17.4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spans="1:40" ht="17.4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spans="1:40" ht="17.4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spans="1:40" ht="17.4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spans="1:40" ht="17.4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spans="1:40" ht="17.4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spans="1:40" ht="17.4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spans="1:40" ht="17.4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spans="1:40" ht="17.4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spans="1:40" ht="17.4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spans="1:40" ht="17.4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spans="1:40" ht="17.4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spans="1:40" ht="17.4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spans="1:40" ht="17.4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spans="1:40" ht="17.4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spans="1:40" ht="17.4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spans="1:40" ht="17.4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spans="1:40" ht="17.4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spans="1:40" ht="17.4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spans="1:40" ht="17.4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spans="1:40" ht="17.4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spans="1:40" ht="17.4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spans="1:40" ht="17.4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spans="1:40" ht="17.4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spans="1:40" ht="17.4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spans="1:40" ht="17.4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spans="1:40" ht="17.4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spans="1:40" ht="17.4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spans="1:40" ht="17.4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spans="1:40" ht="17.4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spans="1:40" ht="17.4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spans="1:40" ht="17.4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spans="1:40" ht="17.4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spans="1:40" ht="17.4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spans="1:40" ht="17.4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spans="1:40" ht="17.4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spans="1:40" ht="17.4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spans="1:40" ht="17.4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spans="1:40" ht="17.4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spans="1:40" ht="17.4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spans="1:40" ht="17.4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spans="1:40" ht="17.4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spans="1:40" ht="17.4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spans="1:40" ht="17.4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spans="1:40" ht="17.4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spans="1:40" ht="17.4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spans="1:40" ht="17.4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spans="1:40" ht="17.4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spans="1:40" ht="17.4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spans="1:40" ht="17.4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spans="1:40" ht="17.4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spans="1:40" ht="17.4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spans="1:40" ht="17.4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spans="1:40" ht="17.4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spans="1:40" ht="17.4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spans="1:40" ht="17.4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spans="1:40" ht="17.4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spans="1:40" ht="17.4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spans="1:40" ht="17.4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spans="1:40" ht="17.4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spans="1:40" ht="17.4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spans="1:40" ht="17.4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spans="1:40" ht="17.4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spans="1:40" ht="17.4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spans="1:40" ht="17.4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spans="1:40" ht="17.4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spans="1:40" ht="17.4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spans="1:40" ht="17.4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spans="1:40" ht="17.4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spans="1:40" ht="17.4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spans="1:40" ht="17.4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spans="1:40" ht="17.4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spans="1:40" ht="17.4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spans="1:40" ht="17.4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spans="1:40" ht="17.4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spans="1:40" ht="17.4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spans="1:40" ht="17.4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spans="1:40" ht="17.4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spans="1:40" ht="17.4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spans="1:40" ht="17.4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spans="1:40" ht="17.4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spans="1:40" ht="17.4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spans="1:40" ht="17.4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spans="1:40" ht="17.4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spans="1:40" ht="17.4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spans="1:40" ht="17.4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spans="1:40" ht="17.4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spans="1:40" ht="17.4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spans="1:40" ht="17.4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spans="1:40" ht="17.4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spans="1:40" ht="17.4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spans="1:40" ht="17.4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spans="1:40" ht="17.4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spans="1:40" ht="17.4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spans="1:40" ht="17.4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spans="1:40" ht="17.4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spans="1:40" ht="17.4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spans="1:40" ht="17.4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spans="1:40" ht="17.4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spans="1:40" ht="17.4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spans="1:40" ht="17.4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spans="1:40" ht="17.4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spans="1:40" ht="17.4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spans="1:40" ht="17.4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spans="1:40" ht="17.4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spans="1:40" ht="17.4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spans="1:40" ht="17.4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spans="1:40" ht="17.4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spans="1:40" ht="17.4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spans="1:40" ht="17.4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spans="1:40" ht="17.4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spans="1:40" ht="17.4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spans="1:40" ht="17.4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spans="1:40" ht="17.4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spans="1:40" ht="17.4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spans="1:40" ht="17.4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spans="1:40" ht="17.4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spans="1:40" ht="17.4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spans="1:40" ht="17.4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spans="1:40" ht="17.4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spans="1:40" ht="17.4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spans="1:40" ht="17.4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spans="1:40" ht="17.4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spans="1:40" ht="17.4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spans="1:40" ht="17.4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spans="1:40" ht="17.4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spans="1:40" ht="17.4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spans="1:40" ht="17.4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spans="1:40" ht="17.4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spans="1:40" ht="17.4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spans="1:40" ht="17.4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spans="1:40" ht="17.4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spans="1:40" ht="17.4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spans="1:40" ht="17.4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spans="1:40" ht="17.4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spans="1:40" ht="17.4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spans="1:40" ht="17.4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spans="1:40" ht="17.4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spans="1:40" ht="17.4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spans="1:40" ht="17.4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spans="1:40" ht="17.4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spans="1:40" ht="17.4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spans="1:40" ht="17.4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spans="1:40" ht="17.4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spans="1:40" ht="17.4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spans="1:40" ht="17.4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spans="1:40" ht="17.4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spans="1:40" ht="17.4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spans="1:40" ht="17.4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spans="1:40" ht="17.4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spans="1:40" ht="17.4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spans="1:40" ht="17.4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spans="1:40" ht="17.4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spans="1:40" ht="17.4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spans="1:40" ht="17.4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spans="1:40" ht="17.4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spans="1:40" ht="17.4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spans="1:40" ht="17.4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spans="1:40" ht="17.4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spans="1:40" ht="17.4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spans="1:40" ht="17.4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spans="1:40" ht="17.4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spans="1:40" ht="17.4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spans="1:40" ht="17.4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spans="1:40" ht="17.4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spans="1:40" ht="17.4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spans="1:40" ht="17.4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spans="1:40" ht="17.4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spans="1:40" ht="17.4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spans="1:40" ht="17.4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spans="1:40" ht="17.4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spans="1:40" ht="17.4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spans="1:40" ht="17.4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spans="1:40" ht="17.4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spans="1:40" ht="17.4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spans="1:40" ht="17.4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spans="1:40" ht="17.4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spans="1:40" ht="17.4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spans="1:40" ht="17.4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spans="1:40" ht="17.4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spans="1:40" ht="17.4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spans="1:40" ht="17.4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spans="1:40" ht="17.4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spans="1:40" ht="17.4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spans="1:40" ht="17.4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spans="1:40" ht="17.4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spans="1:40" ht="17.4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spans="1:40" ht="17.4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spans="1:40" ht="17.4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spans="1:40" ht="17.4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spans="1:40" ht="17.4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spans="1:40" ht="17.4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spans="1:40" ht="17.4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spans="1:40" ht="17.4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spans="1:40" ht="17.4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spans="1:40" ht="17.4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spans="1:40" ht="17.4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spans="1:40" ht="17.4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spans="1:40" ht="17.4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spans="1:40" ht="17.4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spans="1:40" ht="17.4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spans="1:40" ht="17.4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spans="1:40" ht="17.4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spans="1:40" ht="17.4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spans="1:40" ht="17.4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spans="1:40" ht="17.4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spans="1:40" ht="17.4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spans="1:40" ht="17.4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spans="1:40" ht="17.4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spans="1:40" ht="17.4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spans="1:40" ht="17.4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spans="1:40" ht="17.4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spans="1:40" ht="17.4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spans="1:40" ht="17.4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spans="1:40" ht="17.4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spans="1:40" ht="17.4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spans="1:40" ht="17.4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spans="1:40" ht="17.4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spans="1:40" ht="17.4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spans="1:40" ht="17.4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spans="1:40" ht="17.4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spans="1:40" ht="17.4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spans="1:40" ht="17.4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spans="1:40" ht="17.4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spans="1:40" ht="17.4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spans="1:40" ht="17.4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spans="1:40" ht="17.4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spans="1:40" ht="17.4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spans="1:40" ht="17.4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spans="1:40" ht="17.4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spans="1:40" ht="17.4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spans="1:40" ht="17.4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spans="1:40" ht="17.4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spans="1:40" ht="17.4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spans="1:40" ht="17.4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spans="1:40" ht="17.4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spans="1:40" ht="17.4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spans="1:40" ht="17.4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spans="1:40" ht="17.4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spans="1:40" ht="17.4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spans="1:40" ht="17.4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spans="1:40" ht="17.4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spans="1:40" ht="17.4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spans="1:40" ht="17.4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spans="1:40" ht="17.4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spans="1:40" ht="17.4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spans="1:40" ht="17.4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spans="1:40" ht="17.4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spans="1:40" ht="17.4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spans="1:40" ht="17.4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spans="1:40" ht="17.4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spans="1:40" ht="17.4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spans="1:40" ht="17.4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 spans="1:40" ht="17.4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spans="1:40" ht="17.4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spans="1:40" ht="17.4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 spans="1:40" ht="17.4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 spans="1:40" ht="17.4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 spans="1:40" ht="17.4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 spans="1:40" ht="17.4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spans="1:40" ht="17.4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 spans="1:40" ht="17.4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spans="1:40" ht="17.4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 spans="1:40" ht="17.4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spans="1:40" ht="17.4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spans="1:40" ht="17.4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spans="1:40" ht="17.4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 spans="1:40" ht="17.4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 spans="1:40" ht="17.4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 spans="1:40" ht="17.4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 spans="1:40" ht="17.4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 spans="1:40" ht="17.4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spans="1:40" ht="17.4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 spans="1:40" ht="17.4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 spans="1:40" ht="17.4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spans="1:40" ht="17.4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 spans="1:40" ht="17.4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 spans="1:40" ht="17.4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 spans="1:40" ht="17.4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 spans="1:40" ht="17.4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 spans="1:40" ht="17.4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 spans="1:40" ht="17.4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spans="1:40" ht="17.4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 spans="1:40" ht="17.4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 spans="1:40" ht="17.4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 spans="1:40" ht="17.4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 spans="1:40" ht="17.4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 spans="1:40" ht="17.4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 spans="1:40" ht="17.4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 spans="1:40" ht="17.4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 spans="1:40" ht="17.4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 spans="1:40" ht="17.4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 spans="1:40" ht="17.4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 spans="1:40" ht="17.4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 spans="1:40" ht="17.4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 spans="1:40" ht="17.4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 spans="1:40" ht="17.4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 spans="1:40" ht="17.4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 spans="1:40" ht="17.4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 spans="1:40" ht="17.4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 spans="1:40" ht="17.4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 spans="1:40" ht="17.4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 spans="1:40" ht="17.4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 spans="1:40" ht="17.4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 spans="1:40" ht="17.4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 spans="1:40" ht="17.4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 spans="1:40" ht="17.4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 spans="1:40" ht="17.4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 spans="1:40" ht="17.4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</sheetData>
  <mergeCells count="12">
    <mergeCell ref="E1:F1"/>
    <mergeCell ref="B2:C2"/>
    <mergeCell ref="AF4:AG4"/>
    <mergeCell ref="AF11:AG11"/>
    <mergeCell ref="AF12:AG12"/>
    <mergeCell ref="AM4:AN4"/>
    <mergeCell ref="AF5:AG5"/>
    <mergeCell ref="AF7:AG7"/>
    <mergeCell ref="AF8:AG8"/>
    <mergeCell ref="AF9:AG9"/>
    <mergeCell ref="AF6:AG6"/>
    <mergeCell ref="AJ6:AK6"/>
  </mergeCells>
  <pageMargins left="0.70866141732283472" right="0.70866141732283472" top="0.74803149606299213" bottom="0.74803149606299213" header="0" footer="0"/>
  <pageSetup paperSize="9" scale="4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2.67578125" defaultRowHeight="15" customHeight="1" x14ac:dyDescent="0.15"/>
  <cols>
    <col min="1" max="1" width="8.62890625" customWidth="1"/>
    <col min="2" max="2" width="21.98046875" customWidth="1"/>
    <col min="3" max="3" width="13.88671875" customWidth="1"/>
    <col min="4" max="4" width="18.33984375" customWidth="1"/>
    <col min="5" max="5" width="13.34765625" customWidth="1"/>
    <col min="6" max="6" width="11.4609375" customWidth="1"/>
    <col min="7" max="7" width="11.59375" customWidth="1"/>
    <col min="8" max="8" width="14.5625" customWidth="1"/>
    <col min="9" max="26" width="8.62890625" customWidth="1"/>
  </cols>
  <sheetData>
    <row r="1" spans="1:8" ht="12.75" customHeight="1" x14ac:dyDescent="0.15">
      <c r="A1" s="107" t="s">
        <v>56</v>
      </c>
    </row>
    <row r="2" spans="1:8" ht="12.75" customHeight="1" x14ac:dyDescent="0.15">
      <c r="A2" s="107" t="s">
        <v>57</v>
      </c>
    </row>
    <row r="3" spans="1:8" ht="12.75" customHeight="1" x14ac:dyDescent="0.15">
      <c r="A3" s="108" t="s">
        <v>58</v>
      </c>
      <c r="B3" s="109" t="s">
        <v>59</v>
      </c>
      <c r="C3" s="110" t="s">
        <v>60</v>
      </c>
      <c r="D3" s="111" t="s">
        <v>61</v>
      </c>
      <c r="E3" s="112" t="s">
        <v>62</v>
      </c>
      <c r="F3" s="109" t="s">
        <v>34</v>
      </c>
      <c r="G3" s="109" t="s">
        <v>63</v>
      </c>
      <c r="H3" s="113" t="s">
        <v>36</v>
      </c>
    </row>
    <row r="4" spans="1:8" ht="12.75" customHeight="1" x14ac:dyDescent="0.15">
      <c r="A4" s="114" t="s">
        <v>64</v>
      </c>
      <c r="B4" s="115">
        <v>372849</v>
      </c>
      <c r="C4" s="116">
        <v>10000</v>
      </c>
      <c r="D4" s="117">
        <v>360000</v>
      </c>
      <c r="E4" s="118">
        <v>220536.08</v>
      </c>
      <c r="F4" s="119">
        <f t="shared" ref="F4:F11" si="0">B4/E4</f>
        <v>1.690648532430612</v>
      </c>
      <c r="G4" s="119">
        <v>3.11</v>
      </c>
      <c r="H4" s="120">
        <f t="shared" ref="H4:H11" si="1">F4-((G4-2.45)*0.27)</f>
        <v>1.5124485324306121</v>
      </c>
    </row>
    <row r="5" spans="1:8" ht="12.75" customHeight="1" x14ac:dyDescent="0.15">
      <c r="A5" s="121" t="s">
        <v>65</v>
      </c>
      <c r="B5" s="115">
        <v>393049</v>
      </c>
      <c r="C5" s="122">
        <v>12000</v>
      </c>
      <c r="D5" s="117"/>
      <c r="E5" s="123">
        <f>+'Beaufort 86'!AA16+'Beaufort 86'!G32</f>
        <v>227881.28</v>
      </c>
      <c r="F5" s="124">
        <f t="shared" si="0"/>
        <v>1.7247972277494668</v>
      </c>
      <c r="G5" s="124">
        <v>2.8250000000000002</v>
      </c>
      <c r="H5" s="125">
        <f t="shared" si="1"/>
        <v>1.6235472277494667</v>
      </c>
    </row>
    <row r="6" spans="1:8" ht="12.75" customHeight="1" x14ac:dyDescent="0.15">
      <c r="A6" s="114" t="s">
        <v>66</v>
      </c>
      <c r="B6" s="115">
        <v>375974</v>
      </c>
      <c r="C6" s="116">
        <v>7000</v>
      </c>
      <c r="D6" s="117"/>
      <c r="E6" s="126">
        <v>206022.12</v>
      </c>
      <c r="F6" s="119">
        <f t="shared" si="0"/>
        <v>1.8249205473664674</v>
      </c>
      <c r="G6" s="119">
        <v>2.7549999999999999</v>
      </c>
      <c r="H6" s="120">
        <f t="shared" si="1"/>
        <v>1.7425705473664674</v>
      </c>
    </row>
    <row r="7" spans="1:8" ht="12.75" customHeight="1" x14ac:dyDescent="0.15">
      <c r="A7" s="114" t="s">
        <v>67</v>
      </c>
      <c r="B7" s="115">
        <f>+'[1]Batch Rec'!$H$119</f>
        <v>0</v>
      </c>
      <c r="C7" s="116">
        <v>13000</v>
      </c>
      <c r="D7" s="117"/>
      <c r="E7" s="126">
        <v>215278.88</v>
      </c>
      <c r="F7" s="119">
        <f t="shared" si="0"/>
        <v>0</v>
      </c>
      <c r="G7" s="119">
        <v>2.875</v>
      </c>
      <c r="H7" s="120">
        <f t="shared" si="1"/>
        <v>-0.11474999999999996</v>
      </c>
    </row>
    <row r="8" spans="1:8" ht="12.75" customHeight="1" x14ac:dyDescent="0.15">
      <c r="A8" s="114" t="s">
        <v>68</v>
      </c>
      <c r="B8" s="115">
        <f>+'[1]Batch Rec'!$I$119</f>
        <v>0</v>
      </c>
      <c r="C8" s="116">
        <v>6000</v>
      </c>
      <c r="D8" s="117"/>
      <c r="E8" s="126">
        <v>207412.48000000001</v>
      </c>
      <c r="F8" s="119">
        <f t="shared" si="0"/>
        <v>0</v>
      </c>
      <c r="G8" s="119">
        <v>2.78</v>
      </c>
      <c r="H8" s="120">
        <f t="shared" si="1"/>
        <v>-8.9099999999999902E-2</v>
      </c>
    </row>
    <row r="9" spans="1:8" ht="12.75" customHeight="1" x14ac:dyDescent="0.15">
      <c r="A9" s="114" t="s">
        <v>69</v>
      </c>
      <c r="B9" s="115">
        <f>+'[1]Batch Rec'!$J$119</f>
        <v>0</v>
      </c>
      <c r="C9" s="116">
        <v>8000</v>
      </c>
      <c r="D9" s="117"/>
      <c r="E9" s="126">
        <v>201083.6</v>
      </c>
      <c r="F9" s="119">
        <f t="shared" si="0"/>
        <v>0</v>
      </c>
      <c r="G9" s="119">
        <v>2.665</v>
      </c>
      <c r="H9" s="120">
        <f t="shared" si="1"/>
        <v>-5.8049999999999963E-2</v>
      </c>
    </row>
    <row r="10" spans="1:8" ht="12.75" customHeight="1" x14ac:dyDescent="0.15">
      <c r="A10" s="114" t="s">
        <v>70</v>
      </c>
      <c r="B10" s="115">
        <f>+'[1]Batch Rec'!$K$119</f>
        <v>0</v>
      </c>
      <c r="C10" s="116">
        <v>10000</v>
      </c>
      <c r="D10" s="117"/>
      <c r="E10" s="126">
        <v>282650.8</v>
      </c>
      <c r="F10" s="119">
        <f t="shared" si="0"/>
        <v>0</v>
      </c>
      <c r="G10" s="119">
        <v>2.8450000000000002</v>
      </c>
      <c r="H10" s="120">
        <f t="shared" si="1"/>
        <v>-0.10665000000000001</v>
      </c>
    </row>
    <row r="11" spans="1:8" ht="12.75" customHeight="1" x14ac:dyDescent="0.15">
      <c r="A11" s="114" t="s">
        <v>71</v>
      </c>
      <c r="B11" s="115">
        <f>+'[1]Batch Rec'!$L$119</f>
        <v>0</v>
      </c>
      <c r="C11" s="116">
        <v>7000</v>
      </c>
      <c r="D11" s="117"/>
      <c r="E11" s="126">
        <v>272064.58</v>
      </c>
      <c r="F11" s="119">
        <f t="shared" si="0"/>
        <v>0</v>
      </c>
      <c r="G11" s="119">
        <v>2.75</v>
      </c>
      <c r="H11" s="120">
        <f t="shared" si="1"/>
        <v>-8.0999999999999961E-2</v>
      </c>
    </row>
    <row r="12" spans="1:8" ht="12.75" customHeight="1" x14ac:dyDescent="0.15">
      <c r="A12" s="114"/>
      <c r="B12" s="119"/>
      <c r="C12" s="116"/>
      <c r="D12" s="117"/>
      <c r="E12" s="126"/>
      <c r="F12" s="119"/>
      <c r="G12" s="119"/>
      <c r="H12" s="127"/>
    </row>
    <row r="13" spans="1:8" ht="12.75" customHeight="1" x14ac:dyDescent="0.15">
      <c r="A13" s="114"/>
      <c r="B13" s="119"/>
      <c r="C13" s="116"/>
      <c r="D13" s="117"/>
      <c r="E13" s="126"/>
      <c r="F13" s="119"/>
      <c r="G13" s="119"/>
      <c r="H13" s="127"/>
    </row>
    <row r="14" spans="1:8" ht="12.75" customHeight="1" x14ac:dyDescent="0.15">
      <c r="A14" s="114"/>
      <c r="B14" s="119"/>
      <c r="C14" s="116"/>
      <c r="D14" s="117"/>
      <c r="E14" s="126"/>
      <c r="F14" s="119"/>
      <c r="G14" s="119"/>
      <c r="H14" s="127"/>
    </row>
    <row r="15" spans="1:8" ht="12.75" customHeight="1" x14ac:dyDescent="0.15">
      <c r="A15" s="114"/>
      <c r="B15" s="119"/>
      <c r="C15" s="116"/>
      <c r="D15" s="117"/>
      <c r="E15" s="126"/>
      <c r="F15" s="119"/>
      <c r="G15" s="119"/>
      <c r="H15" s="127"/>
    </row>
    <row r="16" spans="1:8" ht="12.75" customHeight="1" x14ac:dyDescent="0.15">
      <c r="A16" s="128"/>
      <c r="B16" s="129"/>
      <c r="C16" s="130"/>
      <c r="D16" s="131"/>
      <c r="E16" s="132"/>
      <c r="F16" s="129"/>
      <c r="G16" s="129"/>
      <c r="H16" s="133"/>
    </row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paperSize="9"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defaultColWidth="12.67578125" defaultRowHeight="15" customHeight="1" x14ac:dyDescent="0.15"/>
  <cols>
    <col min="1" max="1" width="8.62890625" customWidth="1"/>
    <col min="2" max="2" width="16.5859375" customWidth="1"/>
    <col min="3" max="3" width="12" customWidth="1"/>
    <col min="4" max="4" width="12.9453125" customWidth="1"/>
    <col min="5" max="5" width="11.59375" customWidth="1"/>
    <col min="6" max="6" width="13.484375" customWidth="1"/>
    <col min="7" max="7" width="18.33984375" customWidth="1"/>
    <col min="8" max="8" width="17.6640625" customWidth="1"/>
    <col min="9" max="9" width="18.33984375" customWidth="1"/>
    <col min="10" max="26" width="8.62890625" customWidth="1"/>
  </cols>
  <sheetData>
    <row r="1" spans="1:9" ht="12.75" customHeight="1" x14ac:dyDescent="0.15">
      <c r="A1" s="134" t="s">
        <v>72</v>
      </c>
      <c r="C1" s="107" t="s">
        <v>73</v>
      </c>
      <c r="D1" s="107"/>
    </row>
    <row r="2" spans="1:9" ht="12.75" customHeight="1" x14ac:dyDescent="0.15">
      <c r="A2" s="134" t="s">
        <v>74</v>
      </c>
    </row>
    <row r="3" spans="1:9" ht="12.75" customHeight="1" x14ac:dyDescent="0.15">
      <c r="A3" s="135" t="s">
        <v>58</v>
      </c>
      <c r="B3" s="135" t="s">
        <v>75</v>
      </c>
      <c r="C3" s="135" t="s">
        <v>76</v>
      </c>
      <c r="D3" s="135" t="s">
        <v>77</v>
      </c>
      <c r="E3" s="135" t="s">
        <v>78</v>
      </c>
      <c r="F3" s="135" t="s">
        <v>79</v>
      </c>
      <c r="G3" s="136" t="s">
        <v>80</v>
      </c>
      <c r="H3" s="135" t="s">
        <v>81</v>
      </c>
      <c r="I3" s="135" t="s">
        <v>82</v>
      </c>
    </row>
    <row r="4" spans="1:9" ht="12.75" customHeight="1" x14ac:dyDescent="0.35">
      <c r="A4" s="137">
        <v>1</v>
      </c>
      <c r="B4" s="138">
        <v>41530</v>
      </c>
      <c r="C4" s="139"/>
      <c r="D4" s="139"/>
      <c r="E4" s="139"/>
      <c r="F4" s="139"/>
      <c r="G4" s="139"/>
      <c r="H4" s="139"/>
      <c r="I4" s="139"/>
    </row>
    <row r="5" spans="1:9" ht="12.75" customHeight="1" x14ac:dyDescent="0.35">
      <c r="A5" s="137">
        <v>2</v>
      </c>
      <c r="B5" s="138">
        <v>41290</v>
      </c>
      <c r="C5" s="139"/>
      <c r="D5" s="139"/>
      <c r="E5" s="139"/>
      <c r="F5" s="139"/>
      <c r="G5" s="139"/>
      <c r="H5" s="139"/>
      <c r="I5" s="139"/>
    </row>
    <row r="6" spans="1:9" ht="12.75" customHeight="1" x14ac:dyDescent="0.35">
      <c r="A6" s="137">
        <v>3</v>
      </c>
      <c r="B6" s="138">
        <v>41200</v>
      </c>
      <c r="C6" s="139"/>
      <c r="D6" s="139"/>
      <c r="E6" s="139"/>
      <c r="F6" s="139"/>
      <c r="G6" s="139"/>
      <c r="H6" s="139"/>
      <c r="I6" s="139"/>
    </row>
    <row r="7" spans="1:9" ht="12.75" customHeight="1" x14ac:dyDescent="0.35">
      <c r="A7" s="137">
        <v>4</v>
      </c>
      <c r="B7" s="138">
        <v>40800</v>
      </c>
      <c r="C7" s="139"/>
      <c r="D7" s="139"/>
      <c r="E7" s="139"/>
      <c r="F7" s="139"/>
      <c r="G7" s="139"/>
      <c r="H7" s="139"/>
      <c r="I7" s="139"/>
    </row>
    <row r="8" spans="1:9" ht="12.75" customHeight="1" x14ac:dyDescent="0.35">
      <c r="A8" s="137">
        <v>5</v>
      </c>
      <c r="B8" s="138">
        <v>40800</v>
      </c>
      <c r="C8" s="139"/>
      <c r="D8" s="139"/>
      <c r="E8" s="139"/>
      <c r="F8" s="139"/>
      <c r="G8" s="139"/>
      <c r="H8" s="139"/>
      <c r="I8" s="139"/>
    </row>
    <row r="9" spans="1:9" ht="12.75" customHeight="1" x14ac:dyDescent="0.35">
      <c r="A9" s="137">
        <v>6</v>
      </c>
      <c r="B9" s="138">
        <v>39765</v>
      </c>
      <c r="C9" s="139"/>
      <c r="D9" s="139"/>
      <c r="E9" s="139"/>
      <c r="F9" s="139"/>
      <c r="G9" s="139"/>
      <c r="H9" s="139"/>
      <c r="I9" s="139"/>
    </row>
    <row r="10" spans="1:9" ht="12.75" customHeight="1" x14ac:dyDescent="0.35">
      <c r="A10" s="137">
        <v>7</v>
      </c>
      <c r="B10" s="138">
        <v>41850</v>
      </c>
      <c r="C10" s="139"/>
      <c r="D10" s="139"/>
      <c r="E10" s="139"/>
      <c r="F10" s="139"/>
      <c r="G10" s="139"/>
      <c r="H10" s="139"/>
      <c r="I10" s="139"/>
    </row>
    <row r="11" spans="1:9" ht="12.75" customHeight="1" x14ac:dyDescent="0.35">
      <c r="A11" s="137">
        <v>8</v>
      </c>
      <c r="B11" s="138">
        <v>42270</v>
      </c>
      <c r="C11" s="139"/>
      <c r="D11" s="139"/>
      <c r="E11" s="139"/>
      <c r="F11" s="139"/>
      <c r="G11" s="139"/>
      <c r="H11" s="139"/>
      <c r="I11" s="139"/>
    </row>
    <row r="12" spans="1:9" ht="12.75" customHeight="1" x14ac:dyDescent="0.35">
      <c r="A12" s="137">
        <v>9</v>
      </c>
      <c r="B12" s="138">
        <v>38800</v>
      </c>
      <c r="C12" s="139"/>
      <c r="D12" s="139"/>
      <c r="E12" s="139"/>
      <c r="F12" s="139"/>
      <c r="G12" s="139"/>
      <c r="H12" s="139"/>
      <c r="I12" s="139"/>
    </row>
    <row r="13" spans="1:9" ht="12.75" customHeight="1" x14ac:dyDescent="0.35">
      <c r="A13" s="137">
        <v>10</v>
      </c>
      <c r="B13" s="138">
        <v>38800</v>
      </c>
      <c r="C13" s="139"/>
      <c r="D13" s="139"/>
      <c r="E13" s="139"/>
      <c r="F13" s="139"/>
      <c r="G13" s="139"/>
      <c r="H13" s="139"/>
      <c r="I13" s="139"/>
    </row>
    <row r="14" spans="1:9" ht="12.75" customHeight="1" x14ac:dyDescent="0.35">
      <c r="A14" s="137">
        <v>11</v>
      </c>
      <c r="B14" s="138">
        <v>38800</v>
      </c>
      <c r="C14" s="139"/>
      <c r="D14" s="139"/>
      <c r="E14" s="139"/>
      <c r="F14" s="139"/>
      <c r="G14" s="139"/>
      <c r="H14" s="139"/>
      <c r="I14" s="139"/>
    </row>
    <row r="15" spans="1:9" ht="12.75" customHeight="1" x14ac:dyDescent="0.35">
      <c r="A15" s="137">
        <v>12</v>
      </c>
      <c r="B15" s="138">
        <v>38800</v>
      </c>
      <c r="C15" s="139"/>
      <c r="D15" s="139"/>
      <c r="E15" s="139"/>
      <c r="F15" s="139"/>
      <c r="G15" s="139"/>
      <c r="H15" s="139"/>
      <c r="I15" s="139"/>
    </row>
    <row r="16" spans="1:9" ht="12.75" customHeight="1" x14ac:dyDescent="0.35">
      <c r="A16" s="137">
        <v>13</v>
      </c>
      <c r="B16" s="138">
        <v>54100</v>
      </c>
      <c r="C16" s="139"/>
      <c r="D16" s="139"/>
      <c r="E16" s="139"/>
      <c r="F16" s="139"/>
      <c r="G16" s="139"/>
      <c r="H16" s="139"/>
      <c r="I16" s="139"/>
    </row>
    <row r="17" spans="1:9" ht="12.75" customHeight="1" x14ac:dyDescent="0.35">
      <c r="A17" s="137">
        <v>14</v>
      </c>
      <c r="B17" s="138">
        <v>54000</v>
      </c>
      <c r="C17" s="139"/>
      <c r="D17" s="139"/>
      <c r="E17" s="139"/>
      <c r="F17" s="139"/>
      <c r="G17" s="139"/>
      <c r="H17" s="139"/>
      <c r="I17" s="139"/>
    </row>
    <row r="18" spans="1:9" ht="12.75" customHeight="1" x14ac:dyDescent="0.35">
      <c r="A18" s="137">
        <v>15</v>
      </c>
      <c r="B18" s="138">
        <v>51300</v>
      </c>
      <c r="C18" s="139"/>
      <c r="D18" s="139"/>
      <c r="E18" s="139"/>
      <c r="F18" s="139"/>
      <c r="G18" s="139"/>
      <c r="H18" s="139"/>
      <c r="I18" s="139"/>
    </row>
    <row r="19" spans="1:9" ht="12.75" customHeight="1" x14ac:dyDescent="0.35">
      <c r="A19" s="137">
        <v>16</v>
      </c>
      <c r="B19" s="138">
        <v>51300</v>
      </c>
      <c r="C19" s="139"/>
      <c r="D19" s="139"/>
      <c r="E19" s="139"/>
      <c r="F19" s="139"/>
      <c r="G19" s="139"/>
      <c r="H19" s="139"/>
      <c r="I19" s="139"/>
    </row>
    <row r="20" spans="1:9" ht="12.75" customHeight="1" x14ac:dyDescent="0.15"/>
    <row r="21" spans="1:9" ht="12.75" customHeight="1" x14ac:dyDescent="0.15"/>
    <row r="22" spans="1:9" ht="12.75" customHeight="1" x14ac:dyDescent="0.15"/>
    <row r="23" spans="1:9" ht="12.75" customHeight="1" x14ac:dyDescent="0.15"/>
    <row r="24" spans="1:9" ht="12.75" customHeight="1" x14ac:dyDescent="0.15"/>
    <row r="25" spans="1:9" ht="12.75" customHeight="1" x14ac:dyDescent="0.15"/>
    <row r="26" spans="1:9" ht="12.75" customHeight="1" x14ac:dyDescent="0.15"/>
    <row r="27" spans="1:9" ht="12.75" customHeight="1" x14ac:dyDescent="0.15"/>
    <row r="28" spans="1:9" ht="12.75" customHeight="1" x14ac:dyDescent="0.15"/>
    <row r="29" spans="1:9" ht="12.75" customHeight="1" x14ac:dyDescent="0.15"/>
    <row r="30" spans="1:9" ht="12.75" customHeight="1" x14ac:dyDescent="0.15"/>
    <row r="31" spans="1:9" ht="12.75" customHeight="1" x14ac:dyDescent="0.15"/>
    <row r="32" spans="1:9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Beaufort 86</vt:lpstr>
      <vt:lpstr>sheds CFCR</vt:lpstr>
      <vt:lpstr>Pickup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Tan</dc:creator>
  <cp:lastModifiedBy>josh cowell</cp:lastModifiedBy>
  <dcterms:created xsi:type="dcterms:W3CDTF">2016-04-19T04:16:39Z</dcterms:created>
  <dcterms:modified xsi:type="dcterms:W3CDTF">2026-03-07T23:01:39Z</dcterms:modified>
</cp:coreProperties>
</file>